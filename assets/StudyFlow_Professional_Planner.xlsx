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Weekly Planner" sheetId="3" state="visible" r:id="rId3"/>
    <sheet xmlns:r="http://schemas.openxmlformats.org/officeDocument/2006/relationships" name="Panduan" sheetId="4" state="visible" r:id="rId4"/>
  </sheets>
  <definedNames>
    <definedName name="_xlnm._FilterDatabase" localSheetId="1" hidden="1">'Task Tracker'!$A$4:$I$104</definedName>
    <definedName name="_xlnm.Print_Titles" localSheetId="1">'Task Tracker'!$1:$4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0.0"/>
    <numFmt numFmtId="166" formatCode="0&quot;%&quot;"/>
  </numFmts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3758A"/>
      <sz val="10"/>
    </font>
    <font>
      <b val="1"/>
      <color rgb="00FFFFFF"/>
      <sz val="10"/>
    </font>
    <font>
      <b val="1"/>
      <color rgb="00233447"/>
      <sz val="9"/>
    </font>
    <font>
      <b val="1"/>
      <color rgb="00233447"/>
      <sz val="18"/>
    </font>
    <font>
      <b val="1"/>
      <color rgb="00137C78"/>
      <sz val="18"/>
    </font>
    <font>
      <color rgb="00137C78"/>
      <sz val="14"/>
    </font>
    <font>
      <b val="1"/>
      <color rgb="007868E6"/>
      <sz val="16"/>
    </font>
    <font>
      <b val="1"/>
      <color rgb="00137C78"/>
      <sz val="12"/>
    </font>
    <font>
      <b val="1"/>
      <color rgb="00233447"/>
    </font>
    <font>
      <color rgb="0063758A"/>
      <sz val="10"/>
    </font>
    <font>
      <b val="1"/>
      <color rgb="00137C78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  <fill>
      <patternFill patternType="solid">
        <fgColor rgb="00E6EFFB"/>
      </patternFill>
    </fill>
    <fill>
      <patternFill patternType="solid">
        <fgColor rgb="00E0F3E5"/>
      </patternFill>
    </fill>
    <fill>
      <patternFill patternType="solid">
        <fgColor rgb="00DDF4EE"/>
      </patternFill>
    </fill>
    <fill>
      <patternFill patternType="solid">
        <fgColor rgb="00FCE5E5"/>
      </patternFill>
    </fill>
    <fill>
      <patternFill patternType="solid">
        <fgColor rgb="00137C78"/>
      </patternFill>
    </fill>
    <fill>
      <patternFill patternType="solid">
        <fgColor rgb="00F4F7FA"/>
      </patternFill>
    </fill>
    <fill>
      <patternFill patternType="solid">
        <fgColor rgb="00FFF1C7"/>
      </patternFill>
    </fill>
  </fills>
  <borders count="4">
    <border>
      <left/>
      <right/>
      <top/>
      <bottom/>
      <diagonal/>
    </border>
    <border>
      <bottom style="medium">
        <color rgb="00137C78"/>
      </bottom>
    </border>
    <border>
      <bottom style="thin">
        <color rgb="00D9E2EC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/>
    </xf>
    <xf numFmtId="0" fontId="4" fillId="4" borderId="3" applyAlignment="1" pivotButton="0" quotePrefix="0" xfId="0">
      <alignment horizontal="center" vertical="center" wrapText="1"/>
    </xf>
    <xf numFmtId="0" fontId="0" fillId="4" borderId="3" pivotButton="0" quotePrefix="0" xfId="0"/>
    <xf numFmtId="0" fontId="4" fillId="5" borderId="3" applyAlignment="1" pivotButton="0" quotePrefix="0" xfId="0">
      <alignment horizontal="center" vertical="center" wrapText="1"/>
    </xf>
    <xf numFmtId="0" fontId="0" fillId="5" borderId="3" pivotButton="0" quotePrefix="0" xfId="0"/>
    <xf numFmtId="0" fontId="4" fillId="6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4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" fillId="8" borderId="0" applyAlignment="1" pivotButton="0" quotePrefix="0" xfId="0">
      <alignment vertical="center"/>
    </xf>
    <xf numFmtId="0" fontId="0" fillId="8" borderId="0" pivotButton="0" quotePrefix="0" xfId="0"/>
    <xf numFmtId="9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9" borderId="2" pivotButton="0" quotePrefix="0" xfId="0"/>
    <xf numFmtId="0" fontId="10" fillId="9" borderId="2" pivotButton="0" quotePrefix="0" xfId="0"/>
    <xf numFmtId="0" fontId="11" fillId="9" borderId="2" pivotButton="0" quotePrefix="0" xfId="0"/>
    <xf numFmtId="0" fontId="0" fillId="9" borderId="2" pivotButton="0" quotePrefix="0" xfId="0"/>
    <xf numFmtId="0" fontId="9" fillId="0" borderId="2" pivotButton="0" quotePrefix="0" xfId="0"/>
    <xf numFmtId="0" fontId="10" fillId="0" borderId="2" pivotButton="0" quotePrefix="0" xfId="0"/>
    <xf numFmtId="0" fontId="11" fillId="0" borderId="2" pivotButton="0" quotePrefix="0" xfId="0"/>
    <xf numFmtId="0" fontId="0" fillId="0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65" fontId="0" fillId="3" borderId="2" applyAlignment="1" pivotButton="0" quotePrefix="0" xfId="0">
      <alignment vertical="center"/>
    </xf>
    <xf numFmtId="166" fontId="0" fillId="3" borderId="2" applyAlignment="1" pivotButton="0" quotePrefix="0" xfId="0">
      <alignment vertical="center"/>
    </xf>
    <xf numFmtId="1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12" fillId="0" borderId="2" pivotButton="0" quotePrefix="0" xfId="0"/>
    <xf numFmtId="0" fontId="12" fillId="9" borderId="2" pivotButton="0" quotePrefix="0" xfId="0"/>
    <xf numFmtId="0" fontId="0" fillId="9" borderId="2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CE5E5"/>
        </patternFill>
      </fill>
    </dxf>
    <dxf>
      <fill>
        <patternFill patternType="solid">
          <fgColor rgb="00E0F3E5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868E6"/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8" customHeight="1">
      <c r="A1" s="1" t="inlineStr">
        <is>
          <t>STUDYFLOW | STUDENT LIFE DASHBOARD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Ringkasan otomatis dari Task Tracker. Isi data tugas nyata agar angka mencerminkan aktivitasmu.</t>
        </is>
      </c>
    </row>
    <row r="4" ht="30" customHeight="1">
      <c r="A4" s="4" t="inlineStr">
        <is>
          <t>TOTAL TUGAS</t>
        </is>
      </c>
      <c r="B4" s="5" t="n"/>
      <c r="C4" s="6" t="inlineStr">
        <is>
          <t>SELESAI</t>
        </is>
      </c>
      <c r="D4" s="7" t="n"/>
      <c r="E4" s="8" t="inlineStr">
        <is>
          <t>SEDANG DIKERJAKAN</t>
        </is>
      </c>
      <c r="F4" s="9" t="n"/>
      <c r="G4" s="10" t="inlineStr">
        <is>
          <t>TERLAMBAT</t>
        </is>
      </c>
      <c r="H4" s="11" t="n"/>
    </row>
    <row r="5" ht="38" customHeight="1">
      <c r="A5" s="12">
        <f>COUNTA('Task Tracker'!B5:B104)</f>
        <v/>
      </c>
      <c r="B5" s="5" t="n"/>
      <c r="C5" s="13">
        <f>COUNTIF('Task Tracker'!E5:E104,"Selesai")</f>
        <v/>
      </c>
      <c r="D5" s="7" t="n"/>
      <c r="E5" s="14">
        <f>COUNTIF('Task Tracker'!E5:E104,"Dikerjakan")</f>
        <v/>
      </c>
      <c r="F5" s="9" t="n"/>
      <c r="G5" s="15">
        <f>COUNTIFS('Task Tracker'!H5:H104,"&lt;0",'Task Tracker'!E5:E104,"&lt;&gt;Selesai",'Task Tracker'!C5:C104,"&lt;&gt;")</f>
        <v/>
      </c>
      <c r="H5" s="11" t="n"/>
    </row>
    <row r="7" ht="24" customHeight="1">
      <c r="A7" s="16" t="inlineStr">
        <is>
          <t>PROGRES</t>
        </is>
      </c>
      <c r="B7" s="17" t="n"/>
      <c r="C7" s="17" t="n"/>
      <c r="D7" s="17" t="n"/>
      <c r="E7" s="16" t="inlineStr">
        <is>
          <t>PENGINGAT</t>
        </is>
      </c>
      <c r="F7" s="17" t="n"/>
      <c r="G7" s="17" t="n"/>
      <c r="H7" s="17" t="n"/>
    </row>
    <row r="8">
      <c r="A8" t="inlineStr">
        <is>
          <t>Rasio tugas selesai</t>
        </is>
      </c>
      <c r="C8" s="18">
        <f>IFERROR(COUNTIF('Task Tracker'!E5:E104,"Selesai")/COUNTA('Task Tracker'!B5:B104),0)</f>
        <v/>
      </c>
      <c r="E8" t="inlineStr">
        <is>
          <t>Deadline dalam 2 hari</t>
        </is>
      </c>
      <c r="G8" s="19">
        <f>COUNTIFS('Task Tracker'!H5:H104,"&gt;=0",'Task Tracker'!H5:H104,"&lt;=2",'Task Tracker'!E5:E104,"&lt;&gt;Selesai",'Task Tracker'!C5:C104,"&lt;&gt;")</f>
        <v/>
      </c>
    </row>
    <row r="9">
      <c r="A9" s="20">
        <f>REPT("■",ROUND(C8*20,0))&amp;REPT("□",20-ROUND(C8*20,0))</f>
        <v/>
      </c>
      <c r="E9" t="inlineStr">
        <is>
          <t>Prioritas tinggi belum selesai</t>
        </is>
      </c>
      <c r="G9" s="19">
        <f>COUNTIFS('Task Tracker'!D5:D104,"Tinggi",'Task Tracker'!E5:E104,"&lt;&gt;Selesai",'Task Tracker'!B5:B104,"&lt;&gt;")</f>
        <v/>
      </c>
    </row>
    <row r="11" ht="24" customHeight="1">
      <c r="A11" s="16" t="inlineStr">
        <is>
          <t>CARA MENGGUNAKAN DASHBOARD</t>
        </is>
      </c>
      <c r="B11" s="17" t="n"/>
      <c r="C11" s="17" t="n"/>
      <c r="D11" s="17" t="n"/>
      <c r="E11" s="17" t="n"/>
      <c r="F11" s="17" t="n"/>
      <c r="G11" s="17" t="n"/>
      <c r="H11" s="17" t="n"/>
    </row>
    <row r="12" ht="30" customHeight="1">
      <c r="A12" s="21" t="inlineStr">
        <is>
          <t>01</t>
        </is>
      </c>
      <c r="B12" s="22" t="inlineStr">
        <is>
          <t>Catat tugas</t>
        </is>
      </c>
      <c r="C12" s="23" t="inlineStr">
        <is>
          <t>Isi mata kuliah, nama tugas, deadline, prioritas, dan status di Task Tracker.</t>
        </is>
      </c>
      <c r="D12" s="24" t="n"/>
      <c r="E12" s="24" t="n"/>
      <c r="F12" s="24" t="n"/>
      <c r="G12" s="24" t="n"/>
      <c r="H12" s="24" t="n"/>
    </row>
    <row r="13" ht="30" customHeight="1">
      <c r="A13" s="25" t="inlineStr">
        <is>
          <t>02</t>
        </is>
      </c>
      <c r="B13" s="26" t="inlineStr">
        <is>
          <t>Progres otomatis</t>
        </is>
      </c>
      <c r="C13" s="27" t="inlineStr">
        <is>
          <t>Status Belum mulai = 0%, Dikerjakan = 50%, Menunggu = 50%, Selesai = 100%. Ini indikator tahap, bukan ukuran kerja presisi.</t>
        </is>
      </c>
      <c r="D13" s="28" t="n"/>
      <c r="E13" s="28" t="n"/>
      <c r="F13" s="28" t="n"/>
      <c r="G13" s="28" t="n"/>
      <c r="H13" s="28" t="n"/>
    </row>
    <row r="14" ht="30" customHeight="1">
      <c r="A14" s="21" t="inlineStr">
        <is>
          <t>03</t>
        </is>
      </c>
      <c r="B14" s="22" t="inlineStr">
        <is>
          <t>Periksa pengingat</t>
        </is>
      </c>
      <c r="C14" s="23" t="inlineStr">
        <is>
          <t>Deadline dekat dan terlambat ditandai otomatis berdasarkan tanggal hari ini.</t>
        </is>
      </c>
      <c r="D14" s="24" t="n"/>
      <c r="E14" s="24" t="n"/>
      <c r="F14" s="24" t="n"/>
      <c r="G14" s="24" t="n"/>
      <c r="H14" s="24" t="n"/>
    </row>
  </sheetData>
  <mergeCells count="23">
    <mergeCell ref="C5:D5"/>
    <mergeCell ref="E5:F5"/>
    <mergeCell ref="E7:H7"/>
    <mergeCell ref="A11:H11"/>
    <mergeCell ref="A1:H1"/>
    <mergeCell ref="G8:H8"/>
    <mergeCell ref="C12:H12"/>
    <mergeCell ref="E8:F8"/>
    <mergeCell ref="C4:D4"/>
    <mergeCell ref="E4:F4"/>
    <mergeCell ref="A9:D9"/>
    <mergeCell ref="E9:F9"/>
    <mergeCell ref="C13:H13"/>
    <mergeCell ref="A2:H2"/>
    <mergeCell ref="A5:B5"/>
    <mergeCell ref="G5:H5"/>
    <mergeCell ref="A7:D7"/>
    <mergeCell ref="A8:B8"/>
    <mergeCell ref="C8:D8"/>
    <mergeCell ref="A4:B4"/>
    <mergeCell ref="G4:H4"/>
    <mergeCell ref="C14:H14"/>
    <mergeCell ref="G9:H9"/>
  </mergeCells>
  <pageMargins left="0.25" right="0.25" top="0.45" bottom="0.4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37C78"/>
    <outlinePr summaryBelow="1" summaryRight="1"/>
    <pageSetUpPr fitToPage="1"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4" customWidth="1" min="4" max="4"/>
    <col width="18" customWidth="1" min="5" max="5"/>
    <col width="15" customWidth="1" min="6" max="6"/>
    <col width="14" customWidth="1" min="7" max="7"/>
    <col width="12" customWidth="1" min="8" max="8"/>
    <col width="38" customWidth="1" min="9" max="9"/>
  </cols>
  <sheetData>
    <row r="1" ht="38" customHeight="1">
      <c r="A1" s="1" t="inlineStr">
        <is>
          <t>STUDYFLOW | SMART TASK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5" customHeight="1">
      <c r="A2" s="3" t="inlineStr">
        <is>
          <t>Satu baris untuk satu tugas. Progres dihitung otomatis berdasarkan Status.</t>
        </is>
      </c>
    </row>
    <row r="4" ht="32" customHeight="1">
      <c r="A4" s="29" t="inlineStr">
        <is>
          <t>Mata Kuliah</t>
        </is>
      </c>
      <c r="B4" s="29" t="inlineStr">
        <is>
          <t>Nama Tugas / Proyek</t>
        </is>
      </c>
      <c r="C4" s="29" t="inlineStr">
        <is>
          <t>Deadline</t>
        </is>
      </c>
      <c r="D4" s="29" t="inlineStr">
        <is>
          <t>Prioritas</t>
        </is>
      </c>
      <c r="E4" s="29" t="inlineStr">
        <is>
          <t>Status</t>
        </is>
      </c>
      <c r="F4" s="29" t="inlineStr">
        <is>
          <t>Estimasi (jam)</t>
        </is>
      </c>
      <c r="G4" s="29" t="inlineStr">
        <is>
          <t>Progres (%)</t>
        </is>
      </c>
      <c r="H4" s="29" t="inlineStr">
        <is>
          <t>Sisa Hari</t>
        </is>
      </c>
      <c r="I4" s="29" t="inlineStr">
        <is>
          <t>Catatan / Link</t>
        </is>
      </c>
    </row>
    <row r="5" ht="25" customHeight="1">
      <c r="A5" s="30" t="n"/>
      <c r="B5" s="30" t="n"/>
      <c r="C5" s="31" t="n"/>
      <c r="D5" s="32" t="n"/>
      <c r="E5" s="32" t="n"/>
      <c r="F5" s="33" t="n"/>
      <c r="G5" s="34">
        <f>IF(E5="","",IF(E5="Belum mulai",0,IF(E5="Dikerjakan",50,IF(E5="Menunggu",50,IF(E5="Selesai",100,"")))))</f>
        <v/>
      </c>
      <c r="H5" s="35">
        <f>IF(C5="","",C5-TODAY())</f>
        <v/>
      </c>
      <c r="I5" s="30" t="n"/>
    </row>
    <row r="6" ht="25" customHeight="1">
      <c r="A6" s="36" t="n"/>
      <c r="B6" s="36" t="n"/>
      <c r="C6" s="37" t="n"/>
      <c r="D6" s="38" t="n"/>
      <c r="E6" s="38" t="n"/>
      <c r="F6" s="39" t="n"/>
      <c r="G6" s="40">
        <f>IF(E6="","",IF(E6="Belum mulai",0,IF(E6="Dikerjakan",50,IF(E6="Menunggu",50,IF(E6="Selesai",100,"")))))</f>
        <v/>
      </c>
      <c r="H6" s="41">
        <f>IF(C6="","",C6-TODAY())</f>
        <v/>
      </c>
      <c r="I6" s="36" t="n"/>
    </row>
    <row r="7" ht="25" customHeight="1">
      <c r="A7" s="30" t="n"/>
      <c r="B7" s="30" t="n"/>
      <c r="C7" s="31" t="n"/>
      <c r="D7" s="32" t="n"/>
      <c r="E7" s="32" t="n"/>
      <c r="F7" s="33" t="n"/>
      <c r="G7" s="34">
        <f>IF(E7="","",IF(E7="Belum mulai",0,IF(E7="Dikerjakan",50,IF(E7="Menunggu",50,IF(E7="Selesai",100,"")))))</f>
        <v/>
      </c>
      <c r="H7" s="35">
        <f>IF(C7="","",C7-TODAY())</f>
        <v/>
      </c>
      <c r="I7" s="30" t="n"/>
    </row>
    <row r="8" ht="25" customHeight="1">
      <c r="A8" s="36" t="n"/>
      <c r="B8" s="36" t="n"/>
      <c r="C8" s="37" t="n"/>
      <c r="D8" s="38" t="n"/>
      <c r="E8" s="38" t="n"/>
      <c r="F8" s="39" t="n"/>
      <c r="G8" s="40">
        <f>IF(E8="","",IF(E8="Belum mulai",0,IF(E8="Dikerjakan",50,IF(E8="Menunggu",50,IF(E8="Selesai",100,"")))))</f>
        <v/>
      </c>
      <c r="H8" s="41">
        <f>IF(C8="","",C8-TODAY())</f>
        <v/>
      </c>
      <c r="I8" s="36" t="n"/>
    </row>
    <row r="9" ht="25" customHeight="1">
      <c r="A9" s="30" t="n"/>
      <c r="B9" s="30" t="n"/>
      <c r="C9" s="31" t="n"/>
      <c r="D9" s="32" t="n"/>
      <c r="E9" s="32" t="n"/>
      <c r="F9" s="33" t="n"/>
      <c r="G9" s="34">
        <f>IF(E9="","",IF(E9="Belum mulai",0,IF(E9="Dikerjakan",50,IF(E9="Menunggu",50,IF(E9="Selesai",100,"")))))</f>
        <v/>
      </c>
      <c r="H9" s="35">
        <f>IF(C9="","",C9-TODAY())</f>
        <v/>
      </c>
      <c r="I9" s="30" t="n"/>
    </row>
    <row r="10" ht="25" customHeight="1">
      <c r="A10" s="36" t="n"/>
      <c r="B10" s="36" t="n"/>
      <c r="C10" s="37" t="n"/>
      <c r="D10" s="38" t="n"/>
      <c r="E10" s="38" t="n"/>
      <c r="F10" s="39" t="n"/>
      <c r="G10" s="40">
        <f>IF(E10="","",IF(E10="Belum mulai",0,IF(E10="Dikerjakan",50,IF(E10="Menunggu",50,IF(E10="Selesai",100,"")))))</f>
        <v/>
      </c>
      <c r="H10" s="41">
        <f>IF(C10="","",C10-TODAY())</f>
        <v/>
      </c>
      <c r="I10" s="36" t="n"/>
    </row>
    <row r="11" ht="25" customHeight="1">
      <c r="A11" s="30" t="n"/>
      <c r="B11" s="30" t="n"/>
      <c r="C11" s="31" t="n"/>
      <c r="D11" s="32" t="n"/>
      <c r="E11" s="32" t="n"/>
      <c r="F11" s="33" t="n"/>
      <c r="G11" s="34">
        <f>IF(E11="","",IF(E11="Belum mulai",0,IF(E11="Dikerjakan",50,IF(E11="Menunggu",50,IF(E11="Selesai",100,"")))))</f>
        <v/>
      </c>
      <c r="H11" s="35">
        <f>IF(C11="","",C11-TODAY())</f>
        <v/>
      </c>
      <c r="I11" s="30" t="n"/>
    </row>
    <row r="12" ht="25" customHeight="1">
      <c r="A12" s="36" t="n"/>
      <c r="B12" s="36" t="n"/>
      <c r="C12" s="37" t="n"/>
      <c r="D12" s="38" t="n"/>
      <c r="E12" s="38" t="n"/>
      <c r="F12" s="39" t="n"/>
      <c r="G12" s="40">
        <f>IF(E12="","",IF(E12="Belum mulai",0,IF(E12="Dikerjakan",50,IF(E12="Menunggu",50,IF(E12="Selesai",100,"")))))</f>
        <v/>
      </c>
      <c r="H12" s="41">
        <f>IF(C12="","",C12-TODAY())</f>
        <v/>
      </c>
      <c r="I12" s="36" t="n"/>
    </row>
    <row r="13" ht="25" customHeight="1">
      <c r="A13" s="30" t="n"/>
      <c r="B13" s="30" t="n"/>
      <c r="C13" s="31" t="n"/>
      <c r="D13" s="32" t="n"/>
      <c r="E13" s="32" t="n"/>
      <c r="F13" s="33" t="n"/>
      <c r="G13" s="34">
        <f>IF(E13="","",IF(E13="Belum mulai",0,IF(E13="Dikerjakan",50,IF(E13="Menunggu",50,IF(E13="Selesai",100,"")))))</f>
        <v/>
      </c>
      <c r="H13" s="35">
        <f>IF(C13="","",C13-TODAY())</f>
        <v/>
      </c>
      <c r="I13" s="30" t="n"/>
    </row>
    <row r="14" ht="25" customHeight="1">
      <c r="A14" s="36" t="n"/>
      <c r="B14" s="36" t="n"/>
      <c r="C14" s="37" t="n"/>
      <c r="D14" s="38" t="n"/>
      <c r="E14" s="38" t="n"/>
      <c r="F14" s="39" t="n"/>
      <c r="G14" s="40">
        <f>IF(E14="","",IF(E14="Belum mulai",0,IF(E14="Dikerjakan",50,IF(E14="Menunggu",50,IF(E14="Selesai",100,"")))))</f>
        <v/>
      </c>
      <c r="H14" s="41">
        <f>IF(C14="","",C14-TODAY())</f>
        <v/>
      </c>
      <c r="I14" s="36" t="n"/>
    </row>
    <row r="15" ht="25" customHeight="1">
      <c r="A15" s="30" t="n"/>
      <c r="B15" s="30" t="n"/>
      <c r="C15" s="31" t="n"/>
      <c r="D15" s="32" t="n"/>
      <c r="E15" s="32" t="n"/>
      <c r="F15" s="33" t="n"/>
      <c r="G15" s="34">
        <f>IF(E15="","",IF(E15="Belum mulai",0,IF(E15="Dikerjakan",50,IF(E15="Menunggu",50,IF(E15="Selesai",100,"")))))</f>
        <v/>
      </c>
      <c r="H15" s="35">
        <f>IF(C15="","",C15-TODAY())</f>
        <v/>
      </c>
      <c r="I15" s="30" t="n"/>
    </row>
    <row r="16" ht="25" customHeight="1">
      <c r="A16" s="36" t="n"/>
      <c r="B16" s="36" t="n"/>
      <c r="C16" s="37" t="n"/>
      <c r="D16" s="38" t="n"/>
      <c r="E16" s="38" t="n"/>
      <c r="F16" s="39" t="n"/>
      <c r="G16" s="40">
        <f>IF(E16="","",IF(E16="Belum mulai",0,IF(E16="Dikerjakan",50,IF(E16="Menunggu",50,IF(E16="Selesai",100,"")))))</f>
        <v/>
      </c>
      <c r="H16" s="41">
        <f>IF(C16="","",C16-TODAY())</f>
        <v/>
      </c>
      <c r="I16" s="36" t="n"/>
    </row>
    <row r="17" ht="25" customHeight="1">
      <c r="A17" s="30" t="n"/>
      <c r="B17" s="30" t="n"/>
      <c r="C17" s="31" t="n"/>
      <c r="D17" s="32" t="n"/>
      <c r="E17" s="32" t="n"/>
      <c r="F17" s="33" t="n"/>
      <c r="G17" s="34">
        <f>IF(E17="","",IF(E17="Belum mulai",0,IF(E17="Dikerjakan",50,IF(E17="Menunggu",50,IF(E17="Selesai",100,"")))))</f>
        <v/>
      </c>
      <c r="H17" s="35">
        <f>IF(C17="","",C17-TODAY())</f>
        <v/>
      </c>
      <c r="I17" s="30" t="n"/>
    </row>
    <row r="18" ht="25" customHeight="1">
      <c r="A18" s="36" t="n"/>
      <c r="B18" s="36" t="n"/>
      <c r="C18" s="37" t="n"/>
      <c r="D18" s="38" t="n"/>
      <c r="E18" s="38" t="n"/>
      <c r="F18" s="39" t="n"/>
      <c r="G18" s="40">
        <f>IF(E18="","",IF(E18="Belum mulai",0,IF(E18="Dikerjakan",50,IF(E18="Menunggu",50,IF(E18="Selesai",100,"")))))</f>
        <v/>
      </c>
      <c r="H18" s="41">
        <f>IF(C18="","",C18-TODAY())</f>
        <v/>
      </c>
      <c r="I18" s="36" t="n"/>
    </row>
    <row r="19" ht="25" customHeight="1">
      <c r="A19" s="30" t="n"/>
      <c r="B19" s="30" t="n"/>
      <c r="C19" s="31" t="n"/>
      <c r="D19" s="32" t="n"/>
      <c r="E19" s="32" t="n"/>
      <c r="F19" s="33" t="n"/>
      <c r="G19" s="34">
        <f>IF(E19="","",IF(E19="Belum mulai",0,IF(E19="Dikerjakan",50,IF(E19="Menunggu",50,IF(E19="Selesai",100,"")))))</f>
        <v/>
      </c>
      <c r="H19" s="35">
        <f>IF(C19="","",C19-TODAY())</f>
        <v/>
      </c>
      <c r="I19" s="30" t="n"/>
    </row>
    <row r="20" ht="25" customHeight="1">
      <c r="A20" s="36" t="n"/>
      <c r="B20" s="36" t="n"/>
      <c r="C20" s="37" t="n"/>
      <c r="D20" s="38" t="n"/>
      <c r="E20" s="38" t="n"/>
      <c r="F20" s="39" t="n"/>
      <c r="G20" s="40">
        <f>IF(E20="","",IF(E20="Belum mulai",0,IF(E20="Dikerjakan",50,IF(E20="Menunggu",50,IF(E20="Selesai",100,"")))))</f>
        <v/>
      </c>
      <c r="H20" s="41">
        <f>IF(C20="","",C20-TODAY())</f>
        <v/>
      </c>
      <c r="I20" s="36" t="n"/>
    </row>
    <row r="21" ht="25" customHeight="1">
      <c r="A21" s="30" t="n"/>
      <c r="B21" s="30" t="n"/>
      <c r="C21" s="31" t="n"/>
      <c r="D21" s="32" t="n"/>
      <c r="E21" s="32" t="n"/>
      <c r="F21" s="33" t="n"/>
      <c r="G21" s="34">
        <f>IF(E21="","",IF(E21="Belum mulai",0,IF(E21="Dikerjakan",50,IF(E21="Menunggu",50,IF(E21="Selesai",100,"")))))</f>
        <v/>
      </c>
      <c r="H21" s="35">
        <f>IF(C21="","",C21-TODAY())</f>
        <v/>
      </c>
      <c r="I21" s="30" t="n"/>
    </row>
    <row r="22" ht="25" customHeight="1">
      <c r="A22" s="36" t="n"/>
      <c r="B22" s="36" t="n"/>
      <c r="C22" s="37" t="n"/>
      <c r="D22" s="38" t="n"/>
      <c r="E22" s="38" t="n"/>
      <c r="F22" s="39" t="n"/>
      <c r="G22" s="40">
        <f>IF(E22="","",IF(E22="Belum mulai",0,IF(E22="Dikerjakan",50,IF(E22="Menunggu",50,IF(E22="Selesai",100,"")))))</f>
        <v/>
      </c>
      <c r="H22" s="41">
        <f>IF(C22="","",C22-TODAY())</f>
        <v/>
      </c>
      <c r="I22" s="36" t="n"/>
    </row>
    <row r="23" ht="25" customHeight="1">
      <c r="A23" s="30" t="n"/>
      <c r="B23" s="30" t="n"/>
      <c r="C23" s="31" t="n"/>
      <c r="D23" s="32" t="n"/>
      <c r="E23" s="32" t="n"/>
      <c r="F23" s="33" t="n"/>
      <c r="G23" s="34">
        <f>IF(E23="","",IF(E23="Belum mulai",0,IF(E23="Dikerjakan",50,IF(E23="Menunggu",50,IF(E23="Selesai",100,"")))))</f>
        <v/>
      </c>
      <c r="H23" s="35">
        <f>IF(C23="","",C23-TODAY())</f>
        <v/>
      </c>
      <c r="I23" s="30" t="n"/>
    </row>
    <row r="24" ht="25" customHeight="1">
      <c r="A24" s="36" t="n"/>
      <c r="B24" s="36" t="n"/>
      <c r="C24" s="37" t="n"/>
      <c r="D24" s="38" t="n"/>
      <c r="E24" s="38" t="n"/>
      <c r="F24" s="39" t="n"/>
      <c r="G24" s="40">
        <f>IF(E24="","",IF(E24="Belum mulai",0,IF(E24="Dikerjakan",50,IF(E24="Menunggu",50,IF(E24="Selesai",100,"")))))</f>
        <v/>
      </c>
      <c r="H24" s="41">
        <f>IF(C24="","",C24-TODAY())</f>
        <v/>
      </c>
      <c r="I24" s="36" t="n"/>
    </row>
    <row r="25" ht="25" customHeight="1">
      <c r="A25" s="30" t="n"/>
      <c r="B25" s="30" t="n"/>
      <c r="C25" s="31" t="n"/>
      <c r="D25" s="32" t="n"/>
      <c r="E25" s="32" t="n"/>
      <c r="F25" s="33" t="n"/>
      <c r="G25" s="34">
        <f>IF(E25="","",IF(E25="Belum mulai",0,IF(E25="Dikerjakan",50,IF(E25="Menunggu",50,IF(E25="Selesai",100,"")))))</f>
        <v/>
      </c>
      <c r="H25" s="35">
        <f>IF(C25="","",C25-TODAY())</f>
        <v/>
      </c>
      <c r="I25" s="30" t="n"/>
    </row>
    <row r="26" ht="25" customHeight="1">
      <c r="A26" s="36" t="n"/>
      <c r="B26" s="36" t="n"/>
      <c r="C26" s="37" t="n"/>
      <c r="D26" s="38" t="n"/>
      <c r="E26" s="38" t="n"/>
      <c r="F26" s="39" t="n"/>
      <c r="G26" s="40">
        <f>IF(E26="","",IF(E26="Belum mulai",0,IF(E26="Dikerjakan",50,IF(E26="Menunggu",50,IF(E26="Selesai",100,"")))))</f>
        <v/>
      </c>
      <c r="H26" s="41">
        <f>IF(C26="","",C26-TODAY())</f>
        <v/>
      </c>
      <c r="I26" s="36" t="n"/>
    </row>
    <row r="27" ht="25" customHeight="1">
      <c r="A27" s="30" t="n"/>
      <c r="B27" s="30" t="n"/>
      <c r="C27" s="31" t="n"/>
      <c r="D27" s="32" t="n"/>
      <c r="E27" s="32" t="n"/>
      <c r="F27" s="33" t="n"/>
      <c r="G27" s="34">
        <f>IF(E27="","",IF(E27="Belum mulai",0,IF(E27="Dikerjakan",50,IF(E27="Menunggu",50,IF(E27="Selesai",100,"")))))</f>
        <v/>
      </c>
      <c r="H27" s="35">
        <f>IF(C27="","",C27-TODAY())</f>
        <v/>
      </c>
      <c r="I27" s="30" t="n"/>
    </row>
    <row r="28" ht="25" customHeight="1">
      <c r="A28" s="36" t="n"/>
      <c r="B28" s="36" t="n"/>
      <c r="C28" s="37" t="n"/>
      <c r="D28" s="38" t="n"/>
      <c r="E28" s="38" t="n"/>
      <c r="F28" s="39" t="n"/>
      <c r="G28" s="40">
        <f>IF(E28="","",IF(E28="Belum mulai",0,IF(E28="Dikerjakan",50,IF(E28="Menunggu",50,IF(E28="Selesai",100,"")))))</f>
        <v/>
      </c>
      <c r="H28" s="41">
        <f>IF(C28="","",C28-TODAY())</f>
        <v/>
      </c>
      <c r="I28" s="36" t="n"/>
    </row>
    <row r="29" ht="25" customHeight="1">
      <c r="A29" s="30" t="n"/>
      <c r="B29" s="30" t="n"/>
      <c r="C29" s="31" t="n"/>
      <c r="D29" s="32" t="n"/>
      <c r="E29" s="32" t="n"/>
      <c r="F29" s="33" t="n"/>
      <c r="G29" s="34">
        <f>IF(E29="","",IF(E29="Belum mulai",0,IF(E29="Dikerjakan",50,IF(E29="Menunggu",50,IF(E29="Selesai",100,"")))))</f>
        <v/>
      </c>
      <c r="H29" s="35">
        <f>IF(C29="","",C29-TODAY())</f>
        <v/>
      </c>
      <c r="I29" s="30" t="n"/>
    </row>
    <row r="30" ht="25" customHeight="1">
      <c r="A30" s="36" t="n"/>
      <c r="B30" s="36" t="n"/>
      <c r="C30" s="37" t="n"/>
      <c r="D30" s="38" t="n"/>
      <c r="E30" s="38" t="n"/>
      <c r="F30" s="39" t="n"/>
      <c r="G30" s="40">
        <f>IF(E30="","",IF(E30="Belum mulai",0,IF(E30="Dikerjakan",50,IF(E30="Menunggu",50,IF(E30="Selesai",100,"")))))</f>
        <v/>
      </c>
      <c r="H30" s="41">
        <f>IF(C30="","",C30-TODAY())</f>
        <v/>
      </c>
      <c r="I30" s="36" t="n"/>
    </row>
    <row r="31" ht="25" customHeight="1">
      <c r="A31" s="30" t="n"/>
      <c r="B31" s="30" t="n"/>
      <c r="C31" s="31" t="n"/>
      <c r="D31" s="32" t="n"/>
      <c r="E31" s="32" t="n"/>
      <c r="F31" s="33" t="n"/>
      <c r="G31" s="34">
        <f>IF(E31="","",IF(E31="Belum mulai",0,IF(E31="Dikerjakan",50,IF(E31="Menunggu",50,IF(E31="Selesai",100,"")))))</f>
        <v/>
      </c>
      <c r="H31" s="35">
        <f>IF(C31="","",C31-TODAY())</f>
        <v/>
      </c>
      <c r="I31" s="30" t="n"/>
    </row>
    <row r="32" ht="25" customHeight="1">
      <c r="A32" s="36" t="n"/>
      <c r="B32" s="36" t="n"/>
      <c r="C32" s="37" t="n"/>
      <c r="D32" s="38" t="n"/>
      <c r="E32" s="38" t="n"/>
      <c r="F32" s="39" t="n"/>
      <c r="G32" s="40">
        <f>IF(E32="","",IF(E32="Belum mulai",0,IF(E32="Dikerjakan",50,IF(E32="Menunggu",50,IF(E32="Selesai",100,"")))))</f>
        <v/>
      </c>
      <c r="H32" s="41">
        <f>IF(C32="","",C32-TODAY())</f>
        <v/>
      </c>
      <c r="I32" s="36" t="n"/>
    </row>
    <row r="33" ht="25" customHeight="1">
      <c r="A33" s="30" t="n"/>
      <c r="B33" s="30" t="n"/>
      <c r="C33" s="31" t="n"/>
      <c r="D33" s="32" t="n"/>
      <c r="E33" s="32" t="n"/>
      <c r="F33" s="33" t="n"/>
      <c r="G33" s="34">
        <f>IF(E33="","",IF(E33="Belum mulai",0,IF(E33="Dikerjakan",50,IF(E33="Menunggu",50,IF(E33="Selesai",100,"")))))</f>
        <v/>
      </c>
      <c r="H33" s="35">
        <f>IF(C33="","",C33-TODAY())</f>
        <v/>
      </c>
      <c r="I33" s="30" t="n"/>
    </row>
    <row r="34" ht="25" customHeight="1">
      <c r="A34" s="36" t="n"/>
      <c r="B34" s="36" t="n"/>
      <c r="C34" s="37" t="n"/>
      <c r="D34" s="38" t="n"/>
      <c r="E34" s="38" t="n"/>
      <c r="F34" s="39" t="n"/>
      <c r="G34" s="40">
        <f>IF(E34="","",IF(E34="Belum mulai",0,IF(E34="Dikerjakan",50,IF(E34="Menunggu",50,IF(E34="Selesai",100,"")))))</f>
        <v/>
      </c>
      <c r="H34" s="41">
        <f>IF(C34="","",C34-TODAY())</f>
        <v/>
      </c>
      <c r="I34" s="36" t="n"/>
    </row>
    <row r="35" ht="25" customHeight="1">
      <c r="A35" s="30" t="n"/>
      <c r="B35" s="30" t="n"/>
      <c r="C35" s="31" t="n"/>
      <c r="D35" s="32" t="n"/>
      <c r="E35" s="32" t="n"/>
      <c r="F35" s="33" t="n"/>
      <c r="G35" s="34">
        <f>IF(E35="","",IF(E35="Belum mulai",0,IF(E35="Dikerjakan",50,IF(E35="Menunggu",50,IF(E35="Selesai",100,"")))))</f>
        <v/>
      </c>
      <c r="H35" s="35">
        <f>IF(C35="","",C35-TODAY())</f>
        <v/>
      </c>
      <c r="I35" s="30" t="n"/>
    </row>
    <row r="36" ht="25" customHeight="1">
      <c r="A36" s="36" t="n"/>
      <c r="B36" s="36" t="n"/>
      <c r="C36" s="37" t="n"/>
      <c r="D36" s="38" t="n"/>
      <c r="E36" s="38" t="n"/>
      <c r="F36" s="39" t="n"/>
      <c r="G36" s="40">
        <f>IF(E36="","",IF(E36="Belum mulai",0,IF(E36="Dikerjakan",50,IF(E36="Menunggu",50,IF(E36="Selesai",100,"")))))</f>
        <v/>
      </c>
      <c r="H36" s="41">
        <f>IF(C36="","",C36-TODAY())</f>
        <v/>
      </c>
      <c r="I36" s="36" t="n"/>
    </row>
    <row r="37" ht="25" customHeight="1">
      <c r="A37" s="30" t="n"/>
      <c r="B37" s="30" t="n"/>
      <c r="C37" s="31" t="n"/>
      <c r="D37" s="32" t="n"/>
      <c r="E37" s="32" t="n"/>
      <c r="F37" s="33" t="n"/>
      <c r="G37" s="34">
        <f>IF(E37="","",IF(E37="Belum mulai",0,IF(E37="Dikerjakan",50,IF(E37="Menunggu",50,IF(E37="Selesai",100,"")))))</f>
        <v/>
      </c>
      <c r="H37" s="35">
        <f>IF(C37="","",C37-TODAY())</f>
        <v/>
      </c>
      <c r="I37" s="30" t="n"/>
    </row>
    <row r="38" ht="25" customHeight="1">
      <c r="A38" s="36" t="n"/>
      <c r="B38" s="36" t="n"/>
      <c r="C38" s="37" t="n"/>
      <c r="D38" s="38" t="n"/>
      <c r="E38" s="38" t="n"/>
      <c r="F38" s="39" t="n"/>
      <c r="G38" s="40">
        <f>IF(E38="","",IF(E38="Belum mulai",0,IF(E38="Dikerjakan",50,IF(E38="Menunggu",50,IF(E38="Selesai",100,"")))))</f>
        <v/>
      </c>
      <c r="H38" s="41">
        <f>IF(C38="","",C38-TODAY())</f>
        <v/>
      </c>
      <c r="I38" s="36" t="n"/>
    </row>
    <row r="39" ht="25" customHeight="1">
      <c r="A39" s="30" t="n"/>
      <c r="B39" s="30" t="n"/>
      <c r="C39" s="31" t="n"/>
      <c r="D39" s="32" t="n"/>
      <c r="E39" s="32" t="n"/>
      <c r="F39" s="33" t="n"/>
      <c r="G39" s="34">
        <f>IF(E39="","",IF(E39="Belum mulai",0,IF(E39="Dikerjakan",50,IF(E39="Menunggu",50,IF(E39="Selesai",100,"")))))</f>
        <v/>
      </c>
      <c r="H39" s="35">
        <f>IF(C39="","",C39-TODAY())</f>
        <v/>
      </c>
      <c r="I39" s="30" t="n"/>
    </row>
    <row r="40" ht="25" customHeight="1">
      <c r="A40" s="36" t="n"/>
      <c r="B40" s="36" t="n"/>
      <c r="C40" s="37" t="n"/>
      <c r="D40" s="38" t="n"/>
      <c r="E40" s="38" t="n"/>
      <c r="F40" s="39" t="n"/>
      <c r="G40" s="40">
        <f>IF(E40="","",IF(E40="Belum mulai",0,IF(E40="Dikerjakan",50,IF(E40="Menunggu",50,IF(E40="Selesai",100,"")))))</f>
        <v/>
      </c>
      <c r="H40" s="41">
        <f>IF(C40="","",C40-TODAY())</f>
        <v/>
      </c>
      <c r="I40" s="36" t="n"/>
    </row>
    <row r="41" ht="25" customHeight="1">
      <c r="A41" s="30" t="n"/>
      <c r="B41" s="30" t="n"/>
      <c r="C41" s="31" t="n"/>
      <c r="D41" s="32" t="n"/>
      <c r="E41" s="32" t="n"/>
      <c r="F41" s="33" t="n"/>
      <c r="G41" s="34">
        <f>IF(E41="","",IF(E41="Belum mulai",0,IF(E41="Dikerjakan",50,IF(E41="Menunggu",50,IF(E41="Selesai",100,"")))))</f>
        <v/>
      </c>
      <c r="H41" s="35">
        <f>IF(C41="","",C41-TODAY())</f>
        <v/>
      </c>
      <c r="I41" s="30" t="n"/>
    </row>
    <row r="42" ht="25" customHeight="1">
      <c r="A42" s="36" t="n"/>
      <c r="B42" s="36" t="n"/>
      <c r="C42" s="37" t="n"/>
      <c r="D42" s="38" t="n"/>
      <c r="E42" s="38" t="n"/>
      <c r="F42" s="39" t="n"/>
      <c r="G42" s="40">
        <f>IF(E42="","",IF(E42="Belum mulai",0,IF(E42="Dikerjakan",50,IF(E42="Menunggu",50,IF(E42="Selesai",100,"")))))</f>
        <v/>
      </c>
      <c r="H42" s="41">
        <f>IF(C42="","",C42-TODAY())</f>
        <v/>
      </c>
      <c r="I42" s="36" t="n"/>
    </row>
    <row r="43" ht="25" customHeight="1">
      <c r="A43" s="30" t="n"/>
      <c r="B43" s="30" t="n"/>
      <c r="C43" s="31" t="n"/>
      <c r="D43" s="32" t="n"/>
      <c r="E43" s="32" t="n"/>
      <c r="F43" s="33" t="n"/>
      <c r="G43" s="34">
        <f>IF(E43="","",IF(E43="Belum mulai",0,IF(E43="Dikerjakan",50,IF(E43="Menunggu",50,IF(E43="Selesai",100,"")))))</f>
        <v/>
      </c>
      <c r="H43" s="35">
        <f>IF(C43="","",C43-TODAY())</f>
        <v/>
      </c>
      <c r="I43" s="30" t="n"/>
    </row>
    <row r="44" ht="25" customHeight="1">
      <c r="A44" s="36" t="n"/>
      <c r="B44" s="36" t="n"/>
      <c r="C44" s="37" t="n"/>
      <c r="D44" s="38" t="n"/>
      <c r="E44" s="38" t="n"/>
      <c r="F44" s="39" t="n"/>
      <c r="G44" s="40">
        <f>IF(E44="","",IF(E44="Belum mulai",0,IF(E44="Dikerjakan",50,IF(E44="Menunggu",50,IF(E44="Selesai",100,"")))))</f>
        <v/>
      </c>
      <c r="H44" s="41">
        <f>IF(C44="","",C44-TODAY())</f>
        <v/>
      </c>
      <c r="I44" s="36" t="n"/>
    </row>
    <row r="45" ht="25" customHeight="1">
      <c r="A45" s="30" t="n"/>
      <c r="B45" s="30" t="n"/>
      <c r="C45" s="31" t="n"/>
      <c r="D45" s="32" t="n"/>
      <c r="E45" s="32" t="n"/>
      <c r="F45" s="33" t="n"/>
      <c r="G45" s="34">
        <f>IF(E45="","",IF(E45="Belum mulai",0,IF(E45="Dikerjakan",50,IF(E45="Menunggu",50,IF(E45="Selesai",100,"")))))</f>
        <v/>
      </c>
      <c r="H45" s="35">
        <f>IF(C45="","",C45-TODAY())</f>
        <v/>
      </c>
      <c r="I45" s="30" t="n"/>
    </row>
    <row r="46" ht="25" customHeight="1">
      <c r="A46" s="36" t="n"/>
      <c r="B46" s="36" t="n"/>
      <c r="C46" s="37" t="n"/>
      <c r="D46" s="38" t="n"/>
      <c r="E46" s="38" t="n"/>
      <c r="F46" s="39" t="n"/>
      <c r="G46" s="40">
        <f>IF(E46="","",IF(E46="Belum mulai",0,IF(E46="Dikerjakan",50,IF(E46="Menunggu",50,IF(E46="Selesai",100,"")))))</f>
        <v/>
      </c>
      <c r="H46" s="41">
        <f>IF(C46="","",C46-TODAY())</f>
        <v/>
      </c>
      <c r="I46" s="36" t="n"/>
    </row>
    <row r="47" ht="25" customHeight="1">
      <c r="A47" s="30" t="n"/>
      <c r="B47" s="30" t="n"/>
      <c r="C47" s="31" t="n"/>
      <c r="D47" s="32" t="n"/>
      <c r="E47" s="32" t="n"/>
      <c r="F47" s="33" t="n"/>
      <c r="G47" s="34">
        <f>IF(E47="","",IF(E47="Belum mulai",0,IF(E47="Dikerjakan",50,IF(E47="Menunggu",50,IF(E47="Selesai",100,"")))))</f>
        <v/>
      </c>
      <c r="H47" s="35">
        <f>IF(C47="","",C47-TODAY())</f>
        <v/>
      </c>
      <c r="I47" s="30" t="n"/>
    </row>
    <row r="48" ht="25" customHeight="1">
      <c r="A48" s="36" t="n"/>
      <c r="B48" s="36" t="n"/>
      <c r="C48" s="37" t="n"/>
      <c r="D48" s="38" t="n"/>
      <c r="E48" s="38" t="n"/>
      <c r="F48" s="39" t="n"/>
      <c r="G48" s="40">
        <f>IF(E48="","",IF(E48="Belum mulai",0,IF(E48="Dikerjakan",50,IF(E48="Menunggu",50,IF(E48="Selesai",100,"")))))</f>
        <v/>
      </c>
      <c r="H48" s="41">
        <f>IF(C48="","",C48-TODAY())</f>
        <v/>
      </c>
      <c r="I48" s="36" t="n"/>
    </row>
    <row r="49" ht="25" customHeight="1">
      <c r="A49" s="30" t="n"/>
      <c r="B49" s="30" t="n"/>
      <c r="C49" s="31" t="n"/>
      <c r="D49" s="32" t="n"/>
      <c r="E49" s="32" t="n"/>
      <c r="F49" s="33" t="n"/>
      <c r="G49" s="34">
        <f>IF(E49="","",IF(E49="Belum mulai",0,IF(E49="Dikerjakan",50,IF(E49="Menunggu",50,IF(E49="Selesai",100,"")))))</f>
        <v/>
      </c>
      <c r="H49" s="35">
        <f>IF(C49="","",C49-TODAY())</f>
        <v/>
      </c>
      <c r="I49" s="30" t="n"/>
    </row>
    <row r="50" ht="25" customHeight="1">
      <c r="A50" s="36" t="n"/>
      <c r="B50" s="36" t="n"/>
      <c r="C50" s="37" t="n"/>
      <c r="D50" s="38" t="n"/>
      <c r="E50" s="38" t="n"/>
      <c r="F50" s="39" t="n"/>
      <c r="G50" s="40">
        <f>IF(E50="","",IF(E50="Belum mulai",0,IF(E50="Dikerjakan",50,IF(E50="Menunggu",50,IF(E50="Selesai",100,"")))))</f>
        <v/>
      </c>
      <c r="H50" s="41">
        <f>IF(C50="","",C50-TODAY())</f>
        <v/>
      </c>
      <c r="I50" s="36" t="n"/>
    </row>
    <row r="51" ht="25" customHeight="1">
      <c r="A51" s="30" t="n"/>
      <c r="B51" s="30" t="n"/>
      <c r="C51" s="31" t="n"/>
      <c r="D51" s="32" t="n"/>
      <c r="E51" s="32" t="n"/>
      <c r="F51" s="33" t="n"/>
      <c r="G51" s="34">
        <f>IF(E51="","",IF(E51="Belum mulai",0,IF(E51="Dikerjakan",50,IF(E51="Menunggu",50,IF(E51="Selesai",100,"")))))</f>
        <v/>
      </c>
      <c r="H51" s="35">
        <f>IF(C51="","",C51-TODAY())</f>
        <v/>
      </c>
      <c r="I51" s="30" t="n"/>
    </row>
    <row r="52" ht="25" customHeight="1">
      <c r="A52" s="36" t="n"/>
      <c r="B52" s="36" t="n"/>
      <c r="C52" s="37" t="n"/>
      <c r="D52" s="38" t="n"/>
      <c r="E52" s="38" t="n"/>
      <c r="F52" s="39" t="n"/>
      <c r="G52" s="40">
        <f>IF(E52="","",IF(E52="Belum mulai",0,IF(E52="Dikerjakan",50,IF(E52="Menunggu",50,IF(E52="Selesai",100,"")))))</f>
        <v/>
      </c>
      <c r="H52" s="41">
        <f>IF(C52="","",C52-TODAY())</f>
        <v/>
      </c>
      <c r="I52" s="36" t="n"/>
    </row>
    <row r="53" ht="25" customHeight="1">
      <c r="A53" s="30" t="n"/>
      <c r="B53" s="30" t="n"/>
      <c r="C53" s="31" t="n"/>
      <c r="D53" s="32" t="n"/>
      <c r="E53" s="32" t="n"/>
      <c r="F53" s="33" t="n"/>
      <c r="G53" s="34">
        <f>IF(E53="","",IF(E53="Belum mulai",0,IF(E53="Dikerjakan",50,IF(E53="Menunggu",50,IF(E53="Selesai",100,"")))))</f>
        <v/>
      </c>
      <c r="H53" s="35">
        <f>IF(C53="","",C53-TODAY())</f>
        <v/>
      </c>
      <c r="I53" s="30" t="n"/>
    </row>
    <row r="54" ht="25" customHeight="1">
      <c r="A54" s="36" t="n"/>
      <c r="B54" s="36" t="n"/>
      <c r="C54" s="37" t="n"/>
      <c r="D54" s="38" t="n"/>
      <c r="E54" s="38" t="n"/>
      <c r="F54" s="39" t="n"/>
      <c r="G54" s="40">
        <f>IF(E54="","",IF(E54="Belum mulai",0,IF(E54="Dikerjakan",50,IF(E54="Menunggu",50,IF(E54="Selesai",100,"")))))</f>
        <v/>
      </c>
      <c r="H54" s="41">
        <f>IF(C54="","",C54-TODAY())</f>
        <v/>
      </c>
      <c r="I54" s="36" t="n"/>
    </row>
    <row r="55" ht="25" customHeight="1">
      <c r="A55" s="30" t="n"/>
      <c r="B55" s="30" t="n"/>
      <c r="C55" s="31" t="n"/>
      <c r="D55" s="32" t="n"/>
      <c r="E55" s="32" t="n"/>
      <c r="F55" s="33" t="n"/>
      <c r="G55" s="34">
        <f>IF(E55="","",IF(E55="Belum mulai",0,IF(E55="Dikerjakan",50,IF(E55="Menunggu",50,IF(E55="Selesai",100,"")))))</f>
        <v/>
      </c>
      <c r="H55" s="35">
        <f>IF(C55="","",C55-TODAY())</f>
        <v/>
      </c>
      <c r="I55" s="30" t="n"/>
    </row>
    <row r="56" ht="25" customHeight="1">
      <c r="A56" s="36" t="n"/>
      <c r="B56" s="36" t="n"/>
      <c r="C56" s="37" t="n"/>
      <c r="D56" s="38" t="n"/>
      <c r="E56" s="38" t="n"/>
      <c r="F56" s="39" t="n"/>
      <c r="G56" s="40">
        <f>IF(E56="","",IF(E56="Belum mulai",0,IF(E56="Dikerjakan",50,IF(E56="Menunggu",50,IF(E56="Selesai",100,"")))))</f>
        <v/>
      </c>
      <c r="H56" s="41">
        <f>IF(C56="","",C56-TODAY())</f>
        <v/>
      </c>
      <c r="I56" s="36" t="n"/>
    </row>
    <row r="57" ht="25" customHeight="1">
      <c r="A57" s="30" t="n"/>
      <c r="B57" s="30" t="n"/>
      <c r="C57" s="31" t="n"/>
      <c r="D57" s="32" t="n"/>
      <c r="E57" s="32" t="n"/>
      <c r="F57" s="33" t="n"/>
      <c r="G57" s="34">
        <f>IF(E57="","",IF(E57="Belum mulai",0,IF(E57="Dikerjakan",50,IF(E57="Menunggu",50,IF(E57="Selesai",100,"")))))</f>
        <v/>
      </c>
      <c r="H57" s="35">
        <f>IF(C57="","",C57-TODAY())</f>
        <v/>
      </c>
      <c r="I57" s="30" t="n"/>
    </row>
    <row r="58" ht="25" customHeight="1">
      <c r="A58" s="36" t="n"/>
      <c r="B58" s="36" t="n"/>
      <c r="C58" s="37" t="n"/>
      <c r="D58" s="38" t="n"/>
      <c r="E58" s="38" t="n"/>
      <c r="F58" s="39" t="n"/>
      <c r="G58" s="40">
        <f>IF(E58="","",IF(E58="Belum mulai",0,IF(E58="Dikerjakan",50,IF(E58="Menunggu",50,IF(E58="Selesai",100,"")))))</f>
        <v/>
      </c>
      <c r="H58" s="41">
        <f>IF(C58="","",C58-TODAY())</f>
        <v/>
      </c>
      <c r="I58" s="36" t="n"/>
    </row>
    <row r="59" ht="25" customHeight="1">
      <c r="A59" s="30" t="n"/>
      <c r="B59" s="30" t="n"/>
      <c r="C59" s="31" t="n"/>
      <c r="D59" s="32" t="n"/>
      <c r="E59" s="32" t="n"/>
      <c r="F59" s="33" t="n"/>
      <c r="G59" s="34">
        <f>IF(E59="","",IF(E59="Belum mulai",0,IF(E59="Dikerjakan",50,IF(E59="Menunggu",50,IF(E59="Selesai",100,"")))))</f>
        <v/>
      </c>
      <c r="H59" s="35">
        <f>IF(C59="","",C59-TODAY())</f>
        <v/>
      </c>
      <c r="I59" s="30" t="n"/>
    </row>
    <row r="60" ht="25" customHeight="1">
      <c r="A60" s="36" t="n"/>
      <c r="B60" s="36" t="n"/>
      <c r="C60" s="37" t="n"/>
      <c r="D60" s="38" t="n"/>
      <c r="E60" s="38" t="n"/>
      <c r="F60" s="39" t="n"/>
      <c r="G60" s="40">
        <f>IF(E60="","",IF(E60="Belum mulai",0,IF(E60="Dikerjakan",50,IF(E60="Menunggu",50,IF(E60="Selesai",100,"")))))</f>
        <v/>
      </c>
      <c r="H60" s="41">
        <f>IF(C60="","",C60-TODAY())</f>
        <v/>
      </c>
      <c r="I60" s="36" t="n"/>
    </row>
    <row r="61" ht="25" customHeight="1">
      <c r="A61" s="30" t="n"/>
      <c r="B61" s="30" t="n"/>
      <c r="C61" s="31" t="n"/>
      <c r="D61" s="32" t="n"/>
      <c r="E61" s="32" t="n"/>
      <c r="F61" s="33" t="n"/>
      <c r="G61" s="34">
        <f>IF(E61="","",IF(E61="Belum mulai",0,IF(E61="Dikerjakan",50,IF(E61="Menunggu",50,IF(E61="Selesai",100,"")))))</f>
        <v/>
      </c>
      <c r="H61" s="35">
        <f>IF(C61="","",C61-TODAY())</f>
        <v/>
      </c>
      <c r="I61" s="30" t="n"/>
    </row>
    <row r="62" ht="25" customHeight="1">
      <c r="A62" s="36" t="n"/>
      <c r="B62" s="36" t="n"/>
      <c r="C62" s="37" t="n"/>
      <c r="D62" s="38" t="n"/>
      <c r="E62" s="38" t="n"/>
      <c r="F62" s="39" t="n"/>
      <c r="G62" s="40">
        <f>IF(E62="","",IF(E62="Belum mulai",0,IF(E62="Dikerjakan",50,IF(E62="Menunggu",50,IF(E62="Selesai",100,"")))))</f>
        <v/>
      </c>
      <c r="H62" s="41">
        <f>IF(C62="","",C62-TODAY())</f>
        <v/>
      </c>
      <c r="I62" s="36" t="n"/>
    </row>
    <row r="63" ht="25" customHeight="1">
      <c r="A63" s="30" t="n"/>
      <c r="B63" s="30" t="n"/>
      <c r="C63" s="31" t="n"/>
      <c r="D63" s="32" t="n"/>
      <c r="E63" s="32" t="n"/>
      <c r="F63" s="33" t="n"/>
      <c r="G63" s="34">
        <f>IF(E63="","",IF(E63="Belum mulai",0,IF(E63="Dikerjakan",50,IF(E63="Menunggu",50,IF(E63="Selesai",100,"")))))</f>
        <v/>
      </c>
      <c r="H63" s="35">
        <f>IF(C63="","",C63-TODAY())</f>
        <v/>
      </c>
      <c r="I63" s="30" t="n"/>
    </row>
    <row r="64" ht="25" customHeight="1">
      <c r="A64" s="36" t="n"/>
      <c r="B64" s="36" t="n"/>
      <c r="C64" s="37" t="n"/>
      <c r="D64" s="38" t="n"/>
      <c r="E64" s="38" t="n"/>
      <c r="F64" s="39" t="n"/>
      <c r="G64" s="40">
        <f>IF(E64="","",IF(E64="Belum mulai",0,IF(E64="Dikerjakan",50,IF(E64="Menunggu",50,IF(E64="Selesai",100,"")))))</f>
        <v/>
      </c>
      <c r="H64" s="41">
        <f>IF(C64="","",C64-TODAY())</f>
        <v/>
      </c>
      <c r="I64" s="36" t="n"/>
    </row>
    <row r="65" ht="25" customHeight="1">
      <c r="A65" s="30" t="n"/>
      <c r="B65" s="30" t="n"/>
      <c r="C65" s="31" t="n"/>
      <c r="D65" s="32" t="n"/>
      <c r="E65" s="32" t="n"/>
      <c r="F65" s="33" t="n"/>
      <c r="G65" s="34">
        <f>IF(E65="","",IF(E65="Belum mulai",0,IF(E65="Dikerjakan",50,IF(E65="Menunggu",50,IF(E65="Selesai",100,"")))))</f>
        <v/>
      </c>
      <c r="H65" s="35">
        <f>IF(C65="","",C65-TODAY())</f>
        <v/>
      </c>
      <c r="I65" s="30" t="n"/>
    </row>
    <row r="66" ht="25" customHeight="1">
      <c r="A66" s="36" t="n"/>
      <c r="B66" s="36" t="n"/>
      <c r="C66" s="37" t="n"/>
      <c r="D66" s="38" t="n"/>
      <c r="E66" s="38" t="n"/>
      <c r="F66" s="39" t="n"/>
      <c r="G66" s="40">
        <f>IF(E66="","",IF(E66="Belum mulai",0,IF(E66="Dikerjakan",50,IF(E66="Menunggu",50,IF(E66="Selesai",100,"")))))</f>
        <v/>
      </c>
      <c r="H66" s="41">
        <f>IF(C66="","",C66-TODAY())</f>
        <v/>
      </c>
      <c r="I66" s="36" t="n"/>
    </row>
    <row r="67" ht="25" customHeight="1">
      <c r="A67" s="30" t="n"/>
      <c r="B67" s="30" t="n"/>
      <c r="C67" s="31" t="n"/>
      <c r="D67" s="32" t="n"/>
      <c r="E67" s="32" t="n"/>
      <c r="F67" s="33" t="n"/>
      <c r="G67" s="34">
        <f>IF(E67="","",IF(E67="Belum mulai",0,IF(E67="Dikerjakan",50,IF(E67="Menunggu",50,IF(E67="Selesai",100,"")))))</f>
        <v/>
      </c>
      <c r="H67" s="35">
        <f>IF(C67="","",C67-TODAY())</f>
        <v/>
      </c>
      <c r="I67" s="30" t="n"/>
    </row>
    <row r="68" ht="25" customHeight="1">
      <c r="A68" s="36" t="n"/>
      <c r="B68" s="36" t="n"/>
      <c r="C68" s="37" t="n"/>
      <c r="D68" s="38" t="n"/>
      <c r="E68" s="38" t="n"/>
      <c r="F68" s="39" t="n"/>
      <c r="G68" s="40">
        <f>IF(E68="","",IF(E68="Belum mulai",0,IF(E68="Dikerjakan",50,IF(E68="Menunggu",50,IF(E68="Selesai",100,"")))))</f>
        <v/>
      </c>
      <c r="H68" s="41">
        <f>IF(C68="","",C68-TODAY())</f>
        <v/>
      </c>
      <c r="I68" s="36" t="n"/>
    </row>
    <row r="69" ht="25" customHeight="1">
      <c r="A69" s="30" t="n"/>
      <c r="B69" s="30" t="n"/>
      <c r="C69" s="31" t="n"/>
      <c r="D69" s="32" t="n"/>
      <c r="E69" s="32" t="n"/>
      <c r="F69" s="33" t="n"/>
      <c r="G69" s="34">
        <f>IF(E69="","",IF(E69="Belum mulai",0,IF(E69="Dikerjakan",50,IF(E69="Menunggu",50,IF(E69="Selesai",100,"")))))</f>
        <v/>
      </c>
      <c r="H69" s="35">
        <f>IF(C69="","",C69-TODAY())</f>
        <v/>
      </c>
      <c r="I69" s="30" t="n"/>
    </row>
    <row r="70" ht="25" customHeight="1">
      <c r="A70" s="36" t="n"/>
      <c r="B70" s="36" t="n"/>
      <c r="C70" s="37" t="n"/>
      <c r="D70" s="38" t="n"/>
      <c r="E70" s="38" t="n"/>
      <c r="F70" s="39" t="n"/>
      <c r="G70" s="40">
        <f>IF(E70="","",IF(E70="Belum mulai",0,IF(E70="Dikerjakan",50,IF(E70="Menunggu",50,IF(E70="Selesai",100,"")))))</f>
        <v/>
      </c>
      <c r="H70" s="41">
        <f>IF(C70="","",C70-TODAY())</f>
        <v/>
      </c>
      <c r="I70" s="36" t="n"/>
    </row>
    <row r="71" ht="25" customHeight="1">
      <c r="A71" s="30" t="n"/>
      <c r="B71" s="30" t="n"/>
      <c r="C71" s="31" t="n"/>
      <c r="D71" s="32" t="n"/>
      <c r="E71" s="32" t="n"/>
      <c r="F71" s="33" t="n"/>
      <c r="G71" s="34">
        <f>IF(E71="","",IF(E71="Belum mulai",0,IF(E71="Dikerjakan",50,IF(E71="Menunggu",50,IF(E71="Selesai",100,"")))))</f>
        <v/>
      </c>
      <c r="H71" s="35">
        <f>IF(C71="","",C71-TODAY())</f>
        <v/>
      </c>
      <c r="I71" s="30" t="n"/>
    </row>
    <row r="72" ht="25" customHeight="1">
      <c r="A72" s="36" t="n"/>
      <c r="B72" s="36" t="n"/>
      <c r="C72" s="37" t="n"/>
      <c r="D72" s="38" t="n"/>
      <c r="E72" s="38" t="n"/>
      <c r="F72" s="39" t="n"/>
      <c r="G72" s="40">
        <f>IF(E72="","",IF(E72="Belum mulai",0,IF(E72="Dikerjakan",50,IF(E72="Menunggu",50,IF(E72="Selesai",100,"")))))</f>
        <v/>
      </c>
      <c r="H72" s="41">
        <f>IF(C72="","",C72-TODAY())</f>
        <v/>
      </c>
      <c r="I72" s="36" t="n"/>
    </row>
    <row r="73" ht="25" customHeight="1">
      <c r="A73" s="30" t="n"/>
      <c r="B73" s="30" t="n"/>
      <c r="C73" s="31" t="n"/>
      <c r="D73" s="32" t="n"/>
      <c r="E73" s="32" t="n"/>
      <c r="F73" s="33" t="n"/>
      <c r="G73" s="34">
        <f>IF(E73="","",IF(E73="Belum mulai",0,IF(E73="Dikerjakan",50,IF(E73="Menunggu",50,IF(E73="Selesai",100,"")))))</f>
        <v/>
      </c>
      <c r="H73" s="35">
        <f>IF(C73="","",C73-TODAY())</f>
        <v/>
      </c>
      <c r="I73" s="30" t="n"/>
    </row>
    <row r="74" ht="25" customHeight="1">
      <c r="A74" s="36" t="n"/>
      <c r="B74" s="36" t="n"/>
      <c r="C74" s="37" t="n"/>
      <c r="D74" s="38" t="n"/>
      <c r="E74" s="38" t="n"/>
      <c r="F74" s="39" t="n"/>
      <c r="G74" s="40">
        <f>IF(E74="","",IF(E74="Belum mulai",0,IF(E74="Dikerjakan",50,IF(E74="Menunggu",50,IF(E74="Selesai",100,"")))))</f>
        <v/>
      </c>
      <c r="H74" s="41">
        <f>IF(C74="","",C74-TODAY())</f>
        <v/>
      </c>
      <c r="I74" s="36" t="n"/>
    </row>
    <row r="75" ht="25" customHeight="1">
      <c r="A75" s="30" t="n"/>
      <c r="B75" s="30" t="n"/>
      <c r="C75" s="31" t="n"/>
      <c r="D75" s="32" t="n"/>
      <c r="E75" s="32" t="n"/>
      <c r="F75" s="33" t="n"/>
      <c r="G75" s="34">
        <f>IF(E75="","",IF(E75="Belum mulai",0,IF(E75="Dikerjakan",50,IF(E75="Menunggu",50,IF(E75="Selesai",100,"")))))</f>
        <v/>
      </c>
      <c r="H75" s="35">
        <f>IF(C75="","",C75-TODAY())</f>
        <v/>
      </c>
      <c r="I75" s="30" t="n"/>
    </row>
    <row r="76" ht="25" customHeight="1">
      <c r="A76" s="36" t="n"/>
      <c r="B76" s="36" t="n"/>
      <c r="C76" s="37" t="n"/>
      <c r="D76" s="38" t="n"/>
      <c r="E76" s="38" t="n"/>
      <c r="F76" s="39" t="n"/>
      <c r="G76" s="40">
        <f>IF(E76="","",IF(E76="Belum mulai",0,IF(E76="Dikerjakan",50,IF(E76="Menunggu",50,IF(E76="Selesai",100,"")))))</f>
        <v/>
      </c>
      <c r="H76" s="41">
        <f>IF(C76="","",C76-TODAY())</f>
        <v/>
      </c>
      <c r="I76" s="36" t="n"/>
    </row>
    <row r="77" ht="25" customHeight="1">
      <c r="A77" s="30" t="n"/>
      <c r="B77" s="30" t="n"/>
      <c r="C77" s="31" t="n"/>
      <c r="D77" s="32" t="n"/>
      <c r="E77" s="32" t="n"/>
      <c r="F77" s="33" t="n"/>
      <c r="G77" s="34">
        <f>IF(E77="","",IF(E77="Belum mulai",0,IF(E77="Dikerjakan",50,IF(E77="Menunggu",50,IF(E77="Selesai",100,"")))))</f>
        <v/>
      </c>
      <c r="H77" s="35">
        <f>IF(C77="","",C77-TODAY())</f>
        <v/>
      </c>
      <c r="I77" s="30" t="n"/>
    </row>
    <row r="78" ht="25" customHeight="1">
      <c r="A78" s="36" t="n"/>
      <c r="B78" s="36" t="n"/>
      <c r="C78" s="37" t="n"/>
      <c r="D78" s="38" t="n"/>
      <c r="E78" s="38" t="n"/>
      <c r="F78" s="39" t="n"/>
      <c r="G78" s="40">
        <f>IF(E78="","",IF(E78="Belum mulai",0,IF(E78="Dikerjakan",50,IF(E78="Menunggu",50,IF(E78="Selesai",100,"")))))</f>
        <v/>
      </c>
      <c r="H78" s="41">
        <f>IF(C78="","",C78-TODAY())</f>
        <v/>
      </c>
      <c r="I78" s="36" t="n"/>
    </row>
    <row r="79" ht="25" customHeight="1">
      <c r="A79" s="30" t="n"/>
      <c r="B79" s="30" t="n"/>
      <c r="C79" s="31" t="n"/>
      <c r="D79" s="32" t="n"/>
      <c r="E79" s="32" t="n"/>
      <c r="F79" s="33" t="n"/>
      <c r="G79" s="34">
        <f>IF(E79="","",IF(E79="Belum mulai",0,IF(E79="Dikerjakan",50,IF(E79="Menunggu",50,IF(E79="Selesai",100,"")))))</f>
        <v/>
      </c>
      <c r="H79" s="35">
        <f>IF(C79="","",C79-TODAY())</f>
        <v/>
      </c>
      <c r="I79" s="30" t="n"/>
    </row>
    <row r="80" ht="25" customHeight="1">
      <c r="A80" s="36" t="n"/>
      <c r="B80" s="36" t="n"/>
      <c r="C80" s="37" t="n"/>
      <c r="D80" s="38" t="n"/>
      <c r="E80" s="38" t="n"/>
      <c r="F80" s="39" t="n"/>
      <c r="G80" s="40">
        <f>IF(E80="","",IF(E80="Belum mulai",0,IF(E80="Dikerjakan",50,IF(E80="Menunggu",50,IF(E80="Selesai",100,"")))))</f>
        <v/>
      </c>
      <c r="H80" s="41">
        <f>IF(C80="","",C80-TODAY())</f>
        <v/>
      </c>
      <c r="I80" s="36" t="n"/>
    </row>
    <row r="81" ht="25" customHeight="1">
      <c r="A81" s="30" t="n"/>
      <c r="B81" s="30" t="n"/>
      <c r="C81" s="31" t="n"/>
      <c r="D81" s="32" t="n"/>
      <c r="E81" s="32" t="n"/>
      <c r="F81" s="33" t="n"/>
      <c r="G81" s="34">
        <f>IF(E81="","",IF(E81="Belum mulai",0,IF(E81="Dikerjakan",50,IF(E81="Menunggu",50,IF(E81="Selesai",100,"")))))</f>
        <v/>
      </c>
      <c r="H81" s="35">
        <f>IF(C81="","",C81-TODAY())</f>
        <v/>
      </c>
      <c r="I81" s="30" t="n"/>
    </row>
    <row r="82" ht="25" customHeight="1">
      <c r="A82" s="36" t="n"/>
      <c r="B82" s="36" t="n"/>
      <c r="C82" s="37" t="n"/>
      <c r="D82" s="38" t="n"/>
      <c r="E82" s="38" t="n"/>
      <c r="F82" s="39" t="n"/>
      <c r="G82" s="40">
        <f>IF(E82="","",IF(E82="Belum mulai",0,IF(E82="Dikerjakan",50,IF(E82="Menunggu",50,IF(E82="Selesai",100,"")))))</f>
        <v/>
      </c>
      <c r="H82" s="41">
        <f>IF(C82="","",C82-TODAY())</f>
        <v/>
      </c>
      <c r="I82" s="36" t="n"/>
    </row>
    <row r="83" ht="25" customHeight="1">
      <c r="A83" s="30" t="n"/>
      <c r="B83" s="30" t="n"/>
      <c r="C83" s="31" t="n"/>
      <c r="D83" s="32" t="n"/>
      <c r="E83" s="32" t="n"/>
      <c r="F83" s="33" t="n"/>
      <c r="G83" s="34">
        <f>IF(E83="","",IF(E83="Belum mulai",0,IF(E83="Dikerjakan",50,IF(E83="Menunggu",50,IF(E83="Selesai",100,"")))))</f>
        <v/>
      </c>
      <c r="H83" s="35">
        <f>IF(C83="","",C83-TODAY())</f>
        <v/>
      </c>
      <c r="I83" s="30" t="n"/>
    </row>
    <row r="84" ht="25" customHeight="1">
      <c r="A84" s="36" t="n"/>
      <c r="B84" s="36" t="n"/>
      <c r="C84" s="37" t="n"/>
      <c r="D84" s="38" t="n"/>
      <c r="E84" s="38" t="n"/>
      <c r="F84" s="39" t="n"/>
      <c r="G84" s="40">
        <f>IF(E84="","",IF(E84="Belum mulai",0,IF(E84="Dikerjakan",50,IF(E84="Menunggu",50,IF(E84="Selesai",100,"")))))</f>
        <v/>
      </c>
      <c r="H84" s="41">
        <f>IF(C84="","",C84-TODAY())</f>
        <v/>
      </c>
      <c r="I84" s="36" t="n"/>
    </row>
    <row r="85" ht="25" customHeight="1">
      <c r="A85" s="30" t="n"/>
      <c r="B85" s="30" t="n"/>
      <c r="C85" s="31" t="n"/>
      <c r="D85" s="32" t="n"/>
      <c r="E85" s="32" t="n"/>
      <c r="F85" s="33" t="n"/>
      <c r="G85" s="34">
        <f>IF(E85="","",IF(E85="Belum mulai",0,IF(E85="Dikerjakan",50,IF(E85="Menunggu",50,IF(E85="Selesai",100,"")))))</f>
        <v/>
      </c>
      <c r="H85" s="35">
        <f>IF(C85="","",C85-TODAY())</f>
        <v/>
      </c>
      <c r="I85" s="30" t="n"/>
    </row>
    <row r="86" ht="25" customHeight="1">
      <c r="A86" s="36" t="n"/>
      <c r="B86" s="36" t="n"/>
      <c r="C86" s="37" t="n"/>
      <c r="D86" s="38" t="n"/>
      <c r="E86" s="38" t="n"/>
      <c r="F86" s="39" t="n"/>
      <c r="G86" s="40">
        <f>IF(E86="","",IF(E86="Belum mulai",0,IF(E86="Dikerjakan",50,IF(E86="Menunggu",50,IF(E86="Selesai",100,"")))))</f>
        <v/>
      </c>
      <c r="H86" s="41">
        <f>IF(C86="","",C86-TODAY())</f>
        <v/>
      </c>
      <c r="I86" s="36" t="n"/>
    </row>
    <row r="87" ht="25" customHeight="1">
      <c r="A87" s="30" t="n"/>
      <c r="B87" s="30" t="n"/>
      <c r="C87" s="31" t="n"/>
      <c r="D87" s="32" t="n"/>
      <c r="E87" s="32" t="n"/>
      <c r="F87" s="33" t="n"/>
      <c r="G87" s="34">
        <f>IF(E87="","",IF(E87="Belum mulai",0,IF(E87="Dikerjakan",50,IF(E87="Menunggu",50,IF(E87="Selesai",100,"")))))</f>
        <v/>
      </c>
      <c r="H87" s="35">
        <f>IF(C87="","",C87-TODAY())</f>
        <v/>
      </c>
      <c r="I87" s="30" t="n"/>
    </row>
    <row r="88" ht="25" customHeight="1">
      <c r="A88" s="36" t="n"/>
      <c r="B88" s="36" t="n"/>
      <c r="C88" s="37" t="n"/>
      <c r="D88" s="38" t="n"/>
      <c r="E88" s="38" t="n"/>
      <c r="F88" s="39" t="n"/>
      <c r="G88" s="40">
        <f>IF(E88="","",IF(E88="Belum mulai",0,IF(E88="Dikerjakan",50,IF(E88="Menunggu",50,IF(E88="Selesai",100,"")))))</f>
        <v/>
      </c>
      <c r="H88" s="41">
        <f>IF(C88="","",C88-TODAY())</f>
        <v/>
      </c>
      <c r="I88" s="36" t="n"/>
    </row>
    <row r="89" ht="25" customHeight="1">
      <c r="A89" s="30" t="n"/>
      <c r="B89" s="30" t="n"/>
      <c r="C89" s="31" t="n"/>
      <c r="D89" s="32" t="n"/>
      <c r="E89" s="32" t="n"/>
      <c r="F89" s="33" t="n"/>
      <c r="G89" s="34">
        <f>IF(E89="","",IF(E89="Belum mulai",0,IF(E89="Dikerjakan",50,IF(E89="Menunggu",50,IF(E89="Selesai",100,"")))))</f>
        <v/>
      </c>
      <c r="H89" s="35">
        <f>IF(C89="","",C89-TODAY())</f>
        <v/>
      </c>
      <c r="I89" s="30" t="n"/>
    </row>
    <row r="90" ht="25" customHeight="1">
      <c r="A90" s="36" t="n"/>
      <c r="B90" s="36" t="n"/>
      <c r="C90" s="37" t="n"/>
      <c r="D90" s="38" t="n"/>
      <c r="E90" s="38" t="n"/>
      <c r="F90" s="39" t="n"/>
      <c r="G90" s="40">
        <f>IF(E90="","",IF(E90="Belum mulai",0,IF(E90="Dikerjakan",50,IF(E90="Menunggu",50,IF(E90="Selesai",100,"")))))</f>
        <v/>
      </c>
      <c r="H90" s="41">
        <f>IF(C90="","",C90-TODAY())</f>
        <v/>
      </c>
      <c r="I90" s="36" t="n"/>
    </row>
    <row r="91" ht="25" customHeight="1">
      <c r="A91" s="30" t="n"/>
      <c r="B91" s="30" t="n"/>
      <c r="C91" s="31" t="n"/>
      <c r="D91" s="32" t="n"/>
      <c r="E91" s="32" t="n"/>
      <c r="F91" s="33" t="n"/>
      <c r="G91" s="34">
        <f>IF(E91="","",IF(E91="Belum mulai",0,IF(E91="Dikerjakan",50,IF(E91="Menunggu",50,IF(E91="Selesai",100,"")))))</f>
        <v/>
      </c>
      <c r="H91" s="35">
        <f>IF(C91="","",C91-TODAY())</f>
        <v/>
      </c>
      <c r="I91" s="30" t="n"/>
    </row>
    <row r="92" ht="25" customHeight="1">
      <c r="A92" s="36" t="n"/>
      <c r="B92" s="36" t="n"/>
      <c r="C92" s="37" t="n"/>
      <c r="D92" s="38" t="n"/>
      <c r="E92" s="38" t="n"/>
      <c r="F92" s="39" t="n"/>
      <c r="G92" s="40">
        <f>IF(E92="","",IF(E92="Belum mulai",0,IF(E92="Dikerjakan",50,IF(E92="Menunggu",50,IF(E92="Selesai",100,"")))))</f>
        <v/>
      </c>
      <c r="H92" s="41">
        <f>IF(C92="","",C92-TODAY())</f>
        <v/>
      </c>
      <c r="I92" s="36" t="n"/>
    </row>
    <row r="93" ht="25" customHeight="1">
      <c r="A93" s="30" t="n"/>
      <c r="B93" s="30" t="n"/>
      <c r="C93" s="31" t="n"/>
      <c r="D93" s="32" t="n"/>
      <c r="E93" s="32" t="n"/>
      <c r="F93" s="33" t="n"/>
      <c r="G93" s="34">
        <f>IF(E93="","",IF(E93="Belum mulai",0,IF(E93="Dikerjakan",50,IF(E93="Menunggu",50,IF(E93="Selesai",100,"")))))</f>
        <v/>
      </c>
      <c r="H93" s="35">
        <f>IF(C93="","",C93-TODAY())</f>
        <v/>
      </c>
      <c r="I93" s="30" t="n"/>
    </row>
    <row r="94" ht="25" customHeight="1">
      <c r="A94" s="36" t="n"/>
      <c r="B94" s="36" t="n"/>
      <c r="C94" s="37" t="n"/>
      <c r="D94" s="38" t="n"/>
      <c r="E94" s="38" t="n"/>
      <c r="F94" s="39" t="n"/>
      <c r="G94" s="40">
        <f>IF(E94="","",IF(E94="Belum mulai",0,IF(E94="Dikerjakan",50,IF(E94="Menunggu",50,IF(E94="Selesai",100,"")))))</f>
        <v/>
      </c>
      <c r="H94" s="41">
        <f>IF(C94="","",C94-TODAY())</f>
        <v/>
      </c>
      <c r="I94" s="36" t="n"/>
    </row>
    <row r="95" ht="25" customHeight="1">
      <c r="A95" s="30" t="n"/>
      <c r="B95" s="30" t="n"/>
      <c r="C95" s="31" t="n"/>
      <c r="D95" s="32" t="n"/>
      <c r="E95" s="32" t="n"/>
      <c r="F95" s="33" t="n"/>
      <c r="G95" s="34">
        <f>IF(E95="","",IF(E95="Belum mulai",0,IF(E95="Dikerjakan",50,IF(E95="Menunggu",50,IF(E95="Selesai",100,"")))))</f>
        <v/>
      </c>
      <c r="H95" s="35">
        <f>IF(C95="","",C95-TODAY())</f>
        <v/>
      </c>
      <c r="I95" s="30" t="n"/>
    </row>
    <row r="96" ht="25" customHeight="1">
      <c r="A96" s="36" t="n"/>
      <c r="B96" s="36" t="n"/>
      <c r="C96" s="37" t="n"/>
      <c r="D96" s="38" t="n"/>
      <c r="E96" s="38" t="n"/>
      <c r="F96" s="39" t="n"/>
      <c r="G96" s="40">
        <f>IF(E96="","",IF(E96="Belum mulai",0,IF(E96="Dikerjakan",50,IF(E96="Menunggu",50,IF(E96="Selesai",100,"")))))</f>
        <v/>
      </c>
      <c r="H96" s="41">
        <f>IF(C96="","",C96-TODAY())</f>
        <v/>
      </c>
      <c r="I96" s="36" t="n"/>
    </row>
    <row r="97" ht="25" customHeight="1">
      <c r="A97" s="30" t="n"/>
      <c r="B97" s="30" t="n"/>
      <c r="C97" s="31" t="n"/>
      <c r="D97" s="32" t="n"/>
      <c r="E97" s="32" t="n"/>
      <c r="F97" s="33" t="n"/>
      <c r="G97" s="34">
        <f>IF(E97="","",IF(E97="Belum mulai",0,IF(E97="Dikerjakan",50,IF(E97="Menunggu",50,IF(E97="Selesai",100,"")))))</f>
        <v/>
      </c>
      <c r="H97" s="35">
        <f>IF(C97="","",C97-TODAY())</f>
        <v/>
      </c>
      <c r="I97" s="30" t="n"/>
    </row>
    <row r="98" ht="25" customHeight="1">
      <c r="A98" s="36" t="n"/>
      <c r="B98" s="36" t="n"/>
      <c r="C98" s="37" t="n"/>
      <c r="D98" s="38" t="n"/>
      <c r="E98" s="38" t="n"/>
      <c r="F98" s="39" t="n"/>
      <c r="G98" s="40">
        <f>IF(E98="","",IF(E98="Belum mulai",0,IF(E98="Dikerjakan",50,IF(E98="Menunggu",50,IF(E98="Selesai",100,"")))))</f>
        <v/>
      </c>
      <c r="H98" s="41">
        <f>IF(C98="","",C98-TODAY())</f>
        <v/>
      </c>
      <c r="I98" s="36" t="n"/>
    </row>
    <row r="99" ht="25" customHeight="1">
      <c r="A99" s="30" t="n"/>
      <c r="B99" s="30" t="n"/>
      <c r="C99" s="31" t="n"/>
      <c r="D99" s="32" t="n"/>
      <c r="E99" s="32" t="n"/>
      <c r="F99" s="33" t="n"/>
      <c r="G99" s="34">
        <f>IF(E99="","",IF(E99="Belum mulai",0,IF(E99="Dikerjakan",50,IF(E99="Menunggu",50,IF(E99="Selesai",100,"")))))</f>
        <v/>
      </c>
      <c r="H99" s="35">
        <f>IF(C99="","",C99-TODAY())</f>
        <v/>
      </c>
      <c r="I99" s="30" t="n"/>
    </row>
    <row r="100" ht="25" customHeight="1">
      <c r="A100" s="36" t="n"/>
      <c r="B100" s="36" t="n"/>
      <c r="C100" s="37" t="n"/>
      <c r="D100" s="38" t="n"/>
      <c r="E100" s="38" t="n"/>
      <c r="F100" s="39" t="n"/>
      <c r="G100" s="40">
        <f>IF(E100="","",IF(E100="Belum mulai",0,IF(E100="Dikerjakan",50,IF(E100="Menunggu",50,IF(E100="Selesai",100,"")))))</f>
        <v/>
      </c>
      <c r="H100" s="41">
        <f>IF(C100="","",C100-TODAY())</f>
        <v/>
      </c>
      <c r="I100" s="36" t="n"/>
    </row>
    <row r="101" ht="25" customHeight="1">
      <c r="A101" s="30" t="n"/>
      <c r="B101" s="30" t="n"/>
      <c r="C101" s="31" t="n"/>
      <c r="D101" s="32" t="n"/>
      <c r="E101" s="32" t="n"/>
      <c r="F101" s="33" t="n"/>
      <c r="G101" s="34">
        <f>IF(E101="","",IF(E101="Belum mulai",0,IF(E101="Dikerjakan",50,IF(E101="Menunggu",50,IF(E101="Selesai",100,"")))))</f>
        <v/>
      </c>
      <c r="H101" s="35">
        <f>IF(C101="","",C101-TODAY())</f>
        <v/>
      </c>
      <c r="I101" s="30" t="n"/>
    </row>
    <row r="102" ht="25" customHeight="1">
      <c r="A102" s="36" t="n"/>
      <c r="B102" s="36" t="n"/>
      <c r="C102" s="37" t="n"/>
      <c r="D102" s="38" t="n"/>
      <c r="E102" s="38" t="n"/>
      <c r="F102" s="39" t="n"/>
      <c r="G102" s="40">
        <f>IF(E102="","",IF(E102="Belum mulai",0,IF(E102="Dikerjakan",50,IF(E102="Menunggu",50,IF(E102="Selesai",100,"")))))</f>
        <v/>
      </c>
      <c r="H102" s="41">
        <f>IF(C102="","",C102-TODAY())</f>
        <v/>
      </c>
      <c r="I102" s="36" t="n"/>
    </row>
    <row r="103" ht="25" customHeight="1">
      <c r="A103" s="30" t="n"/>
      <c r="B103" s="30" t="n"/>
      <c r="C103" s="31" t="n"/>
      <c r="D103" s="32" t="n"/>
      <c r="E103" s="32" t="n"/>
      <c r="F103" s="33" t="n"/>
      <c r="G103" s="34">
        <f>IF(E103="","",IF(E103="Belum mulai",0,IF(E103="Dikerjakan",50,IF(E103="Menunggu",50,IF(E103="Selesai",100,"")))))</f>
        <v/>
      </c>
      <c r="H103" s="35">
        <f>IF(C103="","",C103-TODAY())</f>
        <v/>
      </c>
      <c r="I103" s="30" t="n"/>
    </row>
    <row r="104" ht="25" customHeight="1">
      <c r="A104" s="36" t="n"/>
      <c r="B104" s="36" t="n"/>
      <c r="C104" s="37" t="n"/>
      <c r="D104" s="38" t="n"/>
      <c r="E104" s="38" t="n"/>
      <c r="F104" s="39" t="n"/>
      <c r="G104" s="40">
        <f>IF(E104="","",IF(E104="Belum mulai",0,IF(E104="Dikerjakan",50,IF(E104="Menunggu",50,IF(E104="Selesai",100,"")))))</f>
        <v/>
      </c>
      <c r="H104" s="41">
        <f>IF(C104="","",C104-TODAY())</f>
        <v/>
      </c>
      <c r="I104" s="36" t="n"/>
    </row>
  </sheetData>
  <autoFilter ref="A4:I104"/>
  <mergeCells count="2">
    <mergeCell ref="A1:I1"/>
    <mergeCell ref="A2:I2"/>
  </mergeCells>
  <conditionalFormatting sqref="D5:D104">
    <cfRule type="expression" priority="1" dxfId="0">
      <formula>D5="Tinggi"</formula>
    </cfRule>
  </conditionalFormatting>
  <conditionalFormatting sqref="E5:E104">
    <cfRule type="expression" priority="2" dxfId="1">
      <formula>E5="Selesai"</formula>
    </cfRule>
    <cfRule type="expression" priority="3" dxfId="2">
      <formula>E5="Menunggu"</formula>
    </cfRule>
  </conditionalFormatting>
  <conditionalFormatting sqref="H5:H104">
    <cfRule type="expression" priority="4" dxfId="0">
      <formula>AND(H5&lt;0,E5&lt;&gt;"Selesai",C5&lt;&gt;"")</formula>
    </cfRule>
    <cfRule type="expression" priority="5" dxfId="2">
      <formula>AND(H5&gt;=0,H5&lt;=2,E5&lt;&gt;"Selesai",C5&lt;&gt;"")</formula>
    </cfRule>
  </conditionalFormatting>
  <conditionalFormatting sqref="G5:G104">
    <cfRule type="dataBar" priority="6">
      <dataBar showValue="1">
        <cfvo type="num" val="0"/>
        <cfvo type="num" val="100"/>
        <color rgb="00137C78"/>
      </dataBar>
    </cfRule>
  </conditionalFormatting>
  <dataValidations count="2">
    <dataValidation sqref="D5:D104" showDropDown="0" showInputMessage="1" showErrorMessage="1" allowBlank="1" errorTitle="Pilihan prioritas tidak valid" error="Pilih Tinggi, Sedang, atau Rendah dari daftar." promptTitle="Prioritas" prompt="Klik sel untuk memilih prioritas." type="list">
      <formula1>"Tinggi,Sedang,Rendah"</formula1>
    </dataValidation>
    <dataValidation sqref="E5:E104" showDropDown="0" showInputMessage="1" showErrorMessage="1" allowBlank="1" errorTitle="Pilihan status tidak valid" error="Pilih status dari daftar yang tersedia." promptTitle="Status pengerjaan" prompt="Klik sel untuk memilih status." type="list">
      <formula1>"Belum mulai,Dikerjakan,Menunggu,Selesai"</formula1>
    </dataValidation>
  </dataValidations>
  <pageMargins left="0.25" right="0.25" top="0.45" bottom="0.4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DFA34E"/>
    <outlinePr summaryBelow="1" summaryRight="1"/>
    <pageSetUpPr fitToPage="1"/>
  </sheetPr>
  <dimension ref="A1:H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4" customWidth="1" min="7" max="7"/>
    <col width="28" customWidth="1" min="8" max="8"/>
  </cols>
  <sheetData>
    <row r="1" ht="38" customHeight="1">
      <c r="A1" s="1" t="inlineStr">
        <is>
          <t>STUDYFLOW | WEEKLY FOCUS PLANNER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Rencanakan prioritas, jadwal kuliah, waktu belajar, dan istirahat.</t>
        </is>
      </c>
    </row>
    <row r="4" ht="32" customHeight="1">
      <c r="A4" s="29" t="inlineStr">
        <is>
          <t>Hari</t>
        </is>
      </c>
      <c r="B4" s="29" t="inlineStr">
        <is>
          <t>Prioritas 1</t>
        </is>
      </c>
      <c r="C4" s="29" t="inlineStr">
        <is>
          <t>Prioritas 2</t>
        </is>
      </c>
      <c r="D4" s="29" t="inlineStr">
        <is>
          <t>Prioritas 3</t>
        </is>
      </c>
      <c r="E4" s="29" t="inlineStr">
        <is>
          <t>Jadwal Kuliah</t>
        </is>
      </c>
      <c r="F4" s="29" t="inlineStr">
        <is>
          <t>Blok Belajar</t>
        </is>
      </c>
      <c r="G4" s="29" t="inlineStr">
        <is>
          <t>Personal / Istirahat</t>
        </is>
      </c>
      <c r="H4" s="29" t="inlineStr">
        <is>
          <t>Catatan</t>
        </is>
      </c>
    </row>
    <row r="5" ht="52" customHeight="1">
      <c r="A5" s="42" t="inlineStr">
        <is>
          <t>Senin</t>
        </is>
      </c>
      <c r="B5" s="42" t="n"/>
      <c r="C5" s="42" t="n"/>
      <c r="D5" s="42" t="n"/>
      <c r="E5" s="42" t="n"/>
      <c r="F5" s="42" t="n"/>
      <c r="G5" s="42" t="n"/>
      <c r="H5" s="42" t="n"/>
    </row>
    <row r="6" ht="52" customHeight="1">
      <c r="A6" s="43" t="inlineStr">
        <is>
          <t>Selasa</t>
        </is>
      </c>
      <c r="B6" s="43" t="n"/>
      <c r="C6" s="43" t="n"/>
      <c r="D6" s="43" t="n"/>
      <c r="E6" s="43" t="n"/>
      <c r="F6" s="43" t="n"/>
      <c r="G6" s="43" t="n"/>
      <c r="H6" s="43" t="n"/>
    </row>
    <row r="7" ht="52" customHeight="1">
      <c r="A7" s="42" t="inlineStr">
        <is>
          <t>Rabu</t>
        </is>
      </c>
      <c r="B7" s="42" t="n"/>
      <c r="C7" s="42" t="n"/>
      <c r="D7" s="42" t="n"/>
      <c r="E7" s="42" t="n"/>
      <c r="F7" s="42" t="n"/>
      <c r="G7" s="42" t="n"/>
      <c r="H7" s="42" t="n"/>
    </row>
    <row r="8" ht="52" customHeight="1">
      <c r="A8" s="43" t="inlineStr">
        <is>
          <t>Kamis</t>
        </is>
      </c>
      <c r="B8" s="43" t="n"/>
      <c r="C8" s="43" t="n"/>
      <c r="D8" s="43" t="n"/>
      <c r="E8" s="43" t="n"/>
      <c r="F8" s="43" t="n"/>
      <c r="G8" s="43" t="n"/>
      <c r="H8" s="43" t="n"/>
    </row>
    <row r="9" ht="52" customHeight="1">
      <c r="A9" s="42" t="inlineStr">
        <is>
          <t>Jumat</t>
        </is>
      </c>
      <c r="B9" s="42" t="n"/>
      <c r="C9" s="42" t="n"/>
      <c r="D9" s="42" t="n"/>
      <c r="E9" s="42" t="n"/>
      <c r="F9" s="42" t="n"/>
      <c r="G9" s="42" t="n"/>
      <c r="H9" s="42" t="n"/>
    </row>
    <row r="10" ht="52" customHeight="1">
      <c r="A10" s="43" t="inlineStr">
        <is>
          <t>Sabtu</t>
        </is>
      </c>
      <c r="B10" s="43" t="n"/>
      <c r="C10" s="43" t="n"/>
      <c r="D10" s="43" t="n"/>
      <c r="E10" s="43" t="n"/>
      <c r="F10" s="43" t="n"/>
      <c r="G10" s="43" t="n"/>
      <c r="H10" s="43" t="n"/>
    </row>
    <row r="11" ht="52" customHeight="1">
      <c r="A11" s="42" t="inlineStr">
        <is>
          <t>Minggu</t>
        </is>
      </c>
      <c r="B11" s="42" t="n"/>
      <c r="C11" s="42" t="n"/>
      <c r="D11" s="42" t="n"/>
      <c r="E11" s="42" t="n"/>
      <c r="F11" s="42" t="n"/>
      <c r="G11" s="42" t="n"/>
      <c r="H11" s="42" t="n"/>
    </row>
  </sheetData>
  <mergeCells count="2">
    <mergeCell ref="A2:H2"/>
    <mergeCell ref="A1:H1"/>
  </mergeCells>
  <pageMargins left="0.25" right="0.25" top="0.45" bottom="0.4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37C78"/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6" customWidth="1" min="3" max="3"/>
    <col width="36" customWidth="1" min="4" max="4"/>
  </cols>
  <sheetData>
    <row r="1" ht="38" customHeight="1">
      <c r="A1" s="1" t="inlineStr">
        <is>
          <t>STUDYFLOW | PANDUAN PENGGUNAAN</t>
        </is>
      </c>
      <c r="B1" s="2" t="n"/>
      <c r="C1" s="2" t="n"/>
      <c r="D1" s="2" t="n"/>
    </row>
    <row r="2" ht="25" customHeight="1">
      <c r="A2" s="3" t="inlineStr">
        <is>
          <t>Mulai cepat untuk pengguna baru.</t>
        </is>
      </c>
    </row>
    <row r="4" ht="24" customHeight="1">
      <c r="A4" s="16" t="inlineStr">
        <is>
          <t>MULAI DALAM 3 MENIT</t>
        </is>
      </c>
      <c r="B4" s="17" t="n"/>
      <c r="C4" s="17" t="n"/>
      <c r="D4" s="17" t="n"/>
    </row>
    <row r="5" ht="32" customHeight="1">
      <c r="A5" s="44" t="inlineStr">
        <is>
          <t>1. Catat</t>
        </is>
      </c>
      <c r="B5" s="30" t="inlineStr">
        <is>
          <t>Masukkan satu tugas per baris pada Task Tracker.</t>
        </is>
      </c>
      <c r="C5" s="28" t="n"/>
      <c r="D5" s="28" t="n"/>
    </row>
    <row r="6" ht="32" customHeight="1">
      <c r="A6" s="45" t="inlineStr">
        <is>
          <t>2. Atur status</t>
        </is>
      </c>
      <c r="B6" s="46" t="inlineStr">
        <is>
          <t>Klik kolom D untuk prioritas dan kolom E untuk status; pilih dari dropdown saat sel dipilih.</t>
        </is>
      </c>
      <c r="C6" s="24" t="n"/>
      <c r="D6" s="24" t="n"/>
    </row>
    <row r="7" ht="32" customHeight="1">
      <c r="A7" s="44" t="inlineStr">
        <is>
          <t>3. Lihat progres</t>
        </is>
      </c>
      <c r="B7" s="30" t="inlineStr">
        <is>
          <t>Kolom Progres dan Sisa Hari dihitung otomatis. Jangan mengetik di kolom G atau H.</t>
        </is>
      </c>
      <c r="C7" s="28" t="n"/>
      <c r="D7" s="28" t="n"/>
    </row>
    <row r="8" ht="32" customHeight="1">
      <c r="A8" s="45" t="inlineStr">
        <is>
          <t>4. Rencanakan</t>
        </is>
      </c>
      <c r="B8" s="46" t="inlineStr">
        <is>
          <t>Gunakan Weekly Planner untuk mengatur fokus mingguan.</t>
        </is>
      </c>
      <c r="C8" s="24" t="n"/>
      <c r="D8" s="24" t="n"/>
    </row>
    <row r="11" ht="24" customHeight="1">
      <c r="A11" s="16" t="inlineStr">
        <is>
          <t>PENTING</t>
        </is>
      </c>
      <c r="B11" s="17" t="n"/>
      <c r="C11" s="17" t="n"/>
      <c r="D11" s="17" t="n"/>
    </row>
    <row r="12">
      <c r="A12" s="47" t="inlineStr">
        <is>
          <t>Status menentukan indikator progres: Belum mulai 0%, Dikerjakan 50%, Menunggu 50%, Selesai 100%. Ini dibuat sederhana agar mudah dipakai; jika perlu progres lebih presisi, tambahkan sub-tugas atau gunakan skala progres manual. Jangan gunakan angka dashboard sebagai bukti trafik atau penjualan.</t>
        </is>
      </c>
    </row>
    <row r="13"/>
    <row r="14"/>
  </sheetData>
  <mergeCells count="9">
    <mergeCell ref="A1:D1"/>
    <mergeCell ref="A12:D14"/>
    <mergeCell ref="B5:D5"/>
    <mergeCell ref="A4:D4"/>
    <mergeCell ref="B8:D8"/>
    <mergeCell ref="A2:D2"/>
    <mergeCell ref="A11:D11"/>
    <mergeCell ref="B7:D7"/>
    <mergeCell ref="B6:D6"/>
  </mergeCells>
  <pageMargins left="0.25" right="0.25" top="0.45" bottom="0.4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2026-10-17T07:56:41Z</dcterms:created>
  <dcterms:modified xmlns:dcterms="http://purl.org/dc/terms/" xmlns:xsi="http://www.w3.org/2001/XMLSchema-instance" xsi:type="dcterms:W3CDTF">2026-10-17T07:56:42Z</dcterms:modified>
</cp:coreProperties>
</file>